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yat\Downloads\"/>
    </mc:Choice>
  </mc:AlternateContent>
  <xr:revisionPtr revIDLastSave="0" documentId="13_ncr:1_{31E4DA6E-3EC1-4AF6-A0AA-4DF9B5ADF9CE}" xr6:coauthVersionLast="47" xr6:coauthVersionMax="47" xr10:uidLastSave="{00000000-0000-0000-0000-000000000000}"/>
  <bookViews>
    <workbookView xWindow="-108" yWindow="-108" windowWidth="23256" windowHeight="12456" firstSheet="12" activeTab="14" xr2:uid="{00000000-000D-0000-FFFF-FFFF00000000}"/>
  </bookViews>
  <sheets>
    <sheet name="DCF&gt;" sheetId="16" r:id="rId1"/>
    <sheet name="DCF" sheetId="29" r:id="rId2"/>
    <sheet name="WACC(Geometric)" sheetId="27" r:id="rId3"/>
    <sheet name="Financials&gt;" sheetId="7" r:id="rId4"/>
    <sheet name="Historical FS " sheetId="8" r:id="rId5"/>
    <sheet name="Ratio Analysis" sheetId="12" r:id="rId6"/>
    <sheet name="Common Size Statement" sheetId="15" r:id="rId7"/>
    <sheet name="Forecasting" sheetId="13" r:id="rId8"/>
    <sheet name="Beta - Regression" sheetId="17" r:id="rId9"/>
    <sheet name="Beta - Comps" sheetId="18" r:id="rId10"/>
    <sheet name="Market Return" sheetId="19" r:id="rId11"/>
    <sheet name="Intrisic Growth" sheetId="22" r:id="rId12"/>
    <sheet name="Comparable Valuation" sheetId="30" r:id="rId13"/>
    <sheet name="Football Analysis" sheetId="32" r:id="rId14"/>
    <sheet name="DCF 1" sheetId="24" r:id="rId15"/>
    <sheet name="WACC(Arithmetic)" sheetId="20" r:id="rId16"/>
    <sheet name="Data Room&gt;" sheetId="14" r:id="rId17"/>
    <sheet name="Cash Flow Data" sheetId="10" r:id="rId18"/>
    <sheet name="Data Sheet" sheetId="6" r:id="rId19"/>
    <sheet name="Raw FS" sheetId="21" r:id="rId20"/>
    <sheet name="Referance" sheetId="25" r:id="rId21"/>
    <sheet name="DATA" sheetId="31" r:id="rId22"/>
  </sheets>
  <definedNames>
    <definedName name="_xlnm.Print_Area" localSheetId="9">'Beta - Comps'!$P$16</definedName>
    <definedName name="_xlnm.Print_Area" localSheetId="6">'Common Size Statement'!$N$19</definedName>
    <definedName name="_xlnm.Print_Area" localSheetId="14">'DCF 1'!$H$62</definedName>
    <definedName name="_xlnm.Print_Area" localSheetId="7">Forecasting!$U$26</definedName>
    <definedName name="_xlnm.Print_Area" localSheetId="4">'Historical FS '!$O$21</definedName>
    <definedName name="_xlnm.Print_Area" localSheetId="11">'Intrisic Growth'!$I$73</definedName>
    <definedName name="_xlnm.Print_Area" localSheetId="5">'Ratio Analysis'!$P$33</definedName>
    <definedName name="_xlnm.Print_Area" localSheetId="2">'WACC(Geometric)'!$O$14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9" l="1"/>
  <c r="Q12" i="32"/>
  <c r="O12" i="32"/>
  <c r="N12" i="32" s="1"/>
  <c r="Q11" i="32"/>
  <c r="P11" i="32" s="1"/>
  <c r="O11" i="32"/>
  <c r="N11" i="32" s="1"/>
  <c r="N10" i="32"/>
  <c r="P10" i="32"/>
  <c r="Q10" i="32"/>
  <c r="O10" i="32"/>
  <c r="O37" i="30"/>
  <c r="P12" i="32"/>
  <c r="P13" i="32"/>
  <c r="N13" i="32"/>
  <c r="P9" i="32"/>
  <c r="N9" i="32"/>
  <c r="Q9" i="32"/>
  <c r="O9" i="32"/>
  <c r="M21" i="30"/>
  <c r="L21" i="30"/>
  <c r="K21" i="30"/>
  <c r="M14" i="30"/>
  <c r="M15" i="30"/>
  <c r="M16" i="30"/>
  <c r="M17" i="30"/>
  <c r="M18" i="30"/>
  <c r="M19" i="30"/>
  <c r="M20" i="30"/>
  <c r="L14" i="30"/>
  <c r="L15" i="30"/>
  <c r="L16" i="30"/>
  <c r="L17" i="30"/>
  <c r="L18" i="30"/>
  <c r="L19" i="30"/>
  <c r="L20" i="30"/>
  <c r="K14" i="30"/>
  <c r="K15" i="30"/>
  <c r="K16" i="30"/>
  <c r="K17" i="30"/>
  <c r="K18" i="30"/>
  <c r="K19" i="30"/>
  <c r="K20" i="30"/>
  <c r="M13" i="30"/>
  <c r="L13" i="30"/>
  <c r="K13" i="30"/>
  <c r="H14" i="30"/>
  <c r="H15" i="30"/>
  <c r="P15" i="30" s="1"/>
  <c r="H16" i="30"/>
  <c r="H17" i="30"/>
  <c r="P17" i="30" s="1"/>
  <c r="H18" i="30"/>
  <c r="H19" i="30"/>
  <c r="H20" i="30"/>
  <c r="H21" i="30"/>
  <c r="H13" i="30"/>
  <c r="L5" i="31"/>
  <c r="L6" i="31"/>
  <c r="L7" i="31"/>
  <c r="L8" i="31"/>
  <c r="L9" i="31"/>
  <c r="L10" i="31"/>
  <c r="L11" i="31"/>
  <c r="L12" i="31"/>
  <c r="L4" i="31"/>
  <c r="K9" i="31"/>
  <c r="K11" i="31"/>
  <c r="E5" i="31"/>
  <c r="K5" i="31" s="1"/>
  <c r="E6" i="31"/>
  <c r="K6" i="31" s="1"/>
  <c r="E7" i="31"/>
  <c r="K7" i="31" s="1"/>
  <c r="E8" i="31"/>
  <c r="K8" i="31" s="1"/>
  <c r="E9" i="31"/>
  <c r="E10" i="31"/>
  <c r="K10" i="31" s="1"/>
  <c r="E11" i="31"/>
  <c r="E12" i="31"/>
  <c r="K12" i="31" s="1"/>
  <c r="E4" i="31"/>
  <c r="K4" i="31" s="1"/>
  <c r="G14" i="30"/>
  <c r="G15" i="30"/>
  <c r="G16" i="30"/>
  <c r="G17" i="30"/>
  <c r="G18" i="30"/>
  <c r="G19" i="30"/>
  <c r="G20" i="30"/>
  <c r="G21" i="30"/>
  <c r="G13" i="30"/>
  <c r="Q33" i="30" s="1"/>
  <c r="E14" i="30"/>
  <c r="E15" i="30"/>
  <c r="E16" i="30"/>
  <c r="E17" i="30"/>
  <c r="E18" i="30"/>
  <c r="E19" i="30"/>
  <c r="E20" i="30"/>
  <c r="E21" i="30"/>
  <c r="E13" i="30"/>
  <c r="P35" i="30" s="1"/>
  <c r="D14" i="30"/>
  <c r="D15" i="30"/>
  <c r="F15" i="30" s="1"/>
  <c r="Q15" i="30" s="1"/>
  <c r="D16" i="30"/>
  <c r="D17" i="30"/>
  <c r="D18" i="30"/>
  <c r="D19" i="30"/>
  <c r="D20" i="30"/>
  <c r="D21" i="30"/>
  <c r="D13" i="30"/>
  <c r="B14" i="30"/>
  <c r="B15" i="30"/>
  <c r="B16" i="30"/>
  <c r="B17" i="30"/>
  <c r="B18" i="30"/>
  <c r="B19" i="30"/>
  <c r="B20" i="30"/>
  <c r="B21" i="30"/>
  <c r="B13" i="30"/>
  <c r="E36" i="8"/>
  <c r="C36" i="8"/>
  <c r="C31" i="8"/>
  <c r="D15" i="8"/>
  <c r="C15" i="8"/>
  <c r="C9" i="8"/>
  <c r="B14" i="6"/>
  <c r="E1" i="6"/>
  <c r="J53" i="22"/>
  <c r="J47" i="22"/>
  <c r="H53" i="22"/>
  <c r="C74" i="18"/>
  <c r="D27" i="13" a="1"/>
  <c r="D27" i="13" s="1"/>
  <c r="B25" i="13"/>
  <c r="C27" i="13"/>
  <c r="C28" i="13" s="1"/>
  <c r="C29" i="13" s="1"/>
  <c r="C30" i="13" s="1"/>
  <c r="C31" i="13" s="1"/>
  <c r="C32" i="13" s="1"/>
  <c r="C33" i="13" s="1"/>
  <c r="C34" i="13" s="1"/>
  <c r="C35" i="13" s="1"/>
  <c r="C36" i="13" s="1"/>
  <c r="C37" i="13" s="1"/>
  <c r="C38" i="13" s="1"/>
  <c r="C39" i="13" s="1"/>
  <c r="C40" i="13" s="1"/>
  <c r="C41" i="13" s="1"/>
  <c r="B28" i="13"/>
  <c r="B29" i="13" s="1"/>
  <c r="B30" i="13" s="1"/>
  <c r="B31" i="13" s="1"/>
  <c r="B32" i="13" s="1"/>
  <c r="B33" i="13" s="1"/>
  <c r="B34" i="13" s="1"/>
  <c r="B35" i="13" s="1"/>
  <c r="B36" i="13" s="1"/>
  <c r="B37" i="13" s="1"/>
  <c r="J27" i="27"/>
  <c r="J27" i="20"/>
  <c r="E40" i="29"/>
  <c r="E38" i="29"/>
  <c r="E37" i="29"/>
  <c r="E27" i="29"/>
  <c r="H14" i="29"/>
  <c r="I14" i="29" s="1"/>
  <c r="H10" i="29"/>
  <c r="I10" i="29" s="1"/>
  <c r="J10" i="29" s="1"/>
  <c r="K10" i="29" s="1"/>
  <c r="G10" i="29"/>
  <c r="F9" i="29"/>
  <c r="F7" i="29"/>
  <c r="G7" i="29" s="1"/>
  <c r="H7" i="29" s="1"/>
  <c r="I7" i="29" s="1"/>
  <c r="J7" i="29" s="1"/>
  <c r="K7" i="29" s="1"/>
  <c r="C35" i="27"/>
  <c r="C34" i="27"/>
  <c r="C36" i="27" s="1"/>
  <c r="E27" i="27"/>
  <c r="J35" i="27" s="1"/>
  <c r="E26" i="27"/>
  <c r="F21" i="27"/>
  <c r="F20" i="27"/>
  <c r="H18" i="27"/>
  <c r="G18" i="27"/>
  <c r="H17" i="27"/>
  <c r="G17" i="27"/>
  <c r="H16" i="27"/>
  <c r="G16" i="27"/>
  <c r="H15" i="27"/>
  <c r="G15" i="27"/>
  <c r="F8" i="19" a="1"/>
  <c r="F8" i="19" s="1"/>
  <c r="P16" i="30" l="1"/>
  <c r="P14" i="30"/>
  <c r="P13" i="30"/>
  <c r="P21" i="30"/>
  <c r="O13" i="30"/>
  <c r="P18" i="30"/>
  <c r="P20" i="30"/>
  <c r="P33" i="30"/>
  <c r="O21" i="30"/>
  <c r="Q35" i="30"/>
  <c r="O33" i="30"/>
  <c r="O35" i="30"/>
  <c r="P19" i="30"/>
  <c r="P28" i="30" s="1"/>
  <c r="O19" i="30"/>
  <c r="O20" i="30"/>
  <c r="O14" i="30"/>
  <c r="O18" i="30"/>
  <c r="O17" i="30"/>
  <c r="O16" i="30"/>
  <c r="O15" i="30"/>
  <c r="F21" i="30"/>
  <c r="Q21" i="30" s="1"/>
  <c r="F16" i="30"/>
  <c r="Q16" i="30" s="1"/>
  <c r="F13" i="30"/>
  <c r="Q13" i="30" s="1"/>
  <c r="F14" i="30"/>
  <c r="Q14" i="30" s="1"/>
  <c r="F20" i="30"/>
  <c r="Q20" i="30" s="1"/>
  <c r="F17" i="30"/>
  <c r="Q17" i="30" s="1"/>
  <c r="F19" i="30"/>
  <c r="Q19" i="30" s="1"/>
  <c r="F18" i="30"/>
  <c r="Q18" i="30" s="1"/>
  <c r="H21" i="27"/>
  <c r="E28" i="27"/>
  <c r="J43" i="27" s="1"/>
  <c r="G21" i="27"/>
  <c r="H20" i="27"/>
  <c r="E34" i="27" s="1"/>
  <c r="J44" i="27" s="1"/>
  <c r="G20" i="27"/>
  <c r="D37" i="13"/>
  <c r="E37" i="13" s="1"/>
  <c r="E30" i="13"/>
  <c r="E28" i="13"/>
  <c r="E29" i="13"/>
  <c r="E36" i="13"/>
  <c r="E35" i="13"/>
  <c r="E34" i="13"/>
  <c r="E33" i="13"/>
  <c r="E32" i="13"/>
  <c r="E31" i="13"/>
  <c r="B38" i="13"/>
  <c r="D38" i="13" s="1"/>
  <c r="E38" i="13" s="1"/>
  <c r="J14" i="29"/>
  <c r="F11" i="29"/>
  <c r="D34" i="27"/>
  <c r="D35" i="27"/>
  <c r="P26" i="30" l="1"/>
  <c r="P32" i="30" s="1"/>
  <c r="P34" i="30" s="1"/>
  <c r="P37" i="30" s="1"/>
  <c r="P40" i="30" s="1"/>
  <c r="P24" i="30"/>
  <c r="O26" i="30"/>
  <c r="O32" i="30" s="1"/>
  <c r="O34" i="30" s="1"/>
  <c r="O40" i="30" s="1"/>
  <c r="P27" i="30"/>
  <c r="P25" i="30"/>
  <c r="P23" i="30"/>
  <c r="O24" i="30"/>
  <c r="O23" i="30"/>
  <c r="O27" i="30"/>
  <c r="Q26" i="30"/>
  <c r="Q34" i="30" s="1"/>
  <c r="Q23" i="30"/>
  <c r="Q28" i="30"/>
  <c r="Q25" i="30"/>
  <c r="Q24" i="30"/>
  <c r="Q27" i="30"/>
  <c r="O28" i="30"/>
  <c r="O25" i="30"/>
  <c r="B39" i="13"/>
  <c r="D39" i="13" s="1"/>
  <c r="E39" i="13" s="1"/>
  <c r="K14" i="29"/>
  <c r="D36" i="27"/>
  <c r="E36" i="27" s="1"/>
  <c r="E35" i="27" s="1"/>
  <c r="D38" i="27"/>
  <c r="Q37" i="30" l="1"/>
  <c r="Q40" i="30" s="1"/>
  <c r="Q32" i="30"/>
  <c r="B40" i="13"/>
  <c r="D40" i="13" s="1"/>
  <c r="E40" i="13" s="1"/>
  <c r="J41" i="27"/>
  <c r="E38" i="27"/>
  <c r="J34" i="27" s="1"/>
  <c r="B41" i="13" l="1"/>
  <c r="D41" i="13" s="1"/>
  <c r="E41" i="13" s="1"/>
  <c r="C35" i="20" l="1"/>
  <c r="F11" i="19"/>
  <c r="G15" i="20" l="1"/>
  <c r="H15" i="20"/>
  <c r="F6" i="19"/>
  <c r="E27" i="20"/>
  <c r="G18" i="20"/>
  <c r="J74" i="18"/>
  <c r="I18" i="20" s="1"/>
  <c r="I18" i="27" s="1"/>
  <c r="J18" i="27" s="1"/>
  <c r="G74" i="18"/>
  <c r="I17" i="20" s="1"/>
  <c r="I17" i="27" s="1"/>
  <c r="J17" i="27" s="1"/>
  <c r="I16" i="20"/>
  <c r="M12" i="18"/>
  <c r="M13" i="18"/>
  <c r="M14" i="18"/>
  <c r="M15" i="18"/>
  <c r="M16" i="18"/>
  <c r="M17" i="18"/>
  <c r="M18" i="18"/>
  <c r="M19" i="18"/>
  <c r="M20" i="18"/>
  <c r="M21" i="18"/>
  <c r="M22" i="18"/>
  <c r="M23" i="18"/>
  <c r="M24" i="18"/>
  <c r="M25" i="18"/>
  <c r="M26" i="18"/>
  <c r="M27" i="18"/>
  <c r="M28" i="18"/>
  <c r="M29" i="18"/>
  <c r="M30" i="18"/>
  <c r="M31" i="18"/>
  <c r="M32" i="18"/>
  <c r="M33" i="18"/>
  <c r="M34" i="18"/>
  <c r="M35" i="18"/>
  <c r="M36" i="18"/>
  <c r="M37" i="18"/>
  <c r="M38" i="18"/>
  <c r="M39" i="18"/>
  <c r="M40" i="18"/>
  <c r="M41" i="18"/>
  <c r="M42" i="18"/>
  <c r="M43" i="18"/>
  <c r="M44" i="18"/>
  <c r="M45" i="18"/>
  <c r="M46" i="18"/>
  <c r="M47" i="18"/>
  <c r="M48" i="18"/>
  <c r="M49" i="18"/>
  <c r="M50" i="18"/>
  <c r="M51" i="18"/>
  <c r="M52" i="18"/>
  <c r="M53" i="18"/>
  <c r="M54" i="18"/>
  <c r="M55" i="18"/>
  <c r="M56" i="18"/>
  <c r="M57" i="18"/>
  <c r="M58" i="18"/>
  <c r="M59" i="18"/>
  <c r="M60" i="18"/>
  <c r="M61" i="18"/>
  <c r="M62" i="18"/>
  <c r="M63" i="18"/>
  <c r="M64" i="18"/>
  <c r="M65" i="18"/>
  <c r="M66" i="18"/>
  <c r="M67" i="18"/>
  <c r="M68" i="18"/>
  <c r="M69" i="18"/>
  <c r="M11" i="18"/>
  <c r="J12" i="18"/>
  <c r="J13" i="18"/>
  <c r="J14" i="18"/>
  <c r="J15" i="18"/>
  <c r="J16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J35" i="18"/>
  <c r="J36" i="18"/>
  <c r="J37" i="18"/>
  <c r="J38" i="18"/>
  <c r="J39" i="18"/>
  <c r="J40" i="18"/>
  <c r="J41" i="18"/>
  <c r="J42" i="18"/>
  <c r="J43" i="18"/>
  <c r="J44" i="18"/>
  <c r="J45" i="18"/>
  <c r="J46" i="18"/>
  <c r="J47" i="18"/>
  <c r="J48" i="18"/>
  <c r="J49" i="18"/>
  <c r="J50" i="18"/>
  <c r="J51" i="18"/>
  <c r="J52" i="18"/>
  <c r="J53" i="18"/>
  <c r="J54" i="18"/>
  <c r="J55" i="18"/>
  <c r="J56" i="18"/>
  <c r="J57" i="18"/>
  <c r="J58" i="18"/>
  <c r="J59" i="18"/>
  <c r="J60" i="18"/>
  <c r="J61" i="18"/>
  <c r="J62" i="18"/>
  <c r="J63" i="18"/>
  <c r="J64" i="18"/>
  <c r="J65" i="18"/>
  <c r="J66" i="18"/>
  <c r="J67" i="18"/>
  <c r="J68" i="18"/>
  <c r="J69" i="18"/>
  <c r="J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11" i="18"/>
  <c r="J17" i="17"/>
  <c r="I15" i="20" s="1"/>
  <c r="I16" i="27" l="1"/>
  <c r="I20" i="20"/>
  <c r="J15" i="20"/>
  <c r="I15" i="27"/>
  <c r="G72" i="18"/>
  <c r="C73" i="18"/>
  <c r="J73" i="18"/>
  <c r="J72" i="18"/>
  <c r="J18" i="20"/>
  <c r="G73" i="18"/>
  <c r="C72" i="18"/>
  <c r="J16" i="27" l="1"/>
  <c r="J20" i="27" s="1"/>
  <c r="I20" i="27"/>
  <c r="J15" i="27"/>
  <c r="I21" i="2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11" i="17"/>
  <c r="H17" i="20"/>
  <c r="G17" i="20"/>
  <c r="H16" i="20"/>
  <c r="H20" i="20" s="1"/>
  <c r="E34" i="20" s="1"/>
  <c r="J44" i="20" s="1"/>
  <c r="H18" i="20"/>
  <c r="G16" i="20"/>
  <c r="G20" i="20" s="1"/>
  <c r="E27" i="24"/>
  <c r="B2" i="24"/>
  <c r="B2" i="8"/>
  <c r="B2" i="15"/>
  <c r="E40" i="24"/>
  <c r="E38" i="24"/>
  <c r="E37" i="24"/>
  <c r="H14" i="24"/>
  <c r="I14" i="24" s="1"/>
  <c r="J21" i="27" l="1"/>
  <c r="J33" i="27" s="1"/>
  <c r="J36" i="27" s="1"/>
  <c r="J28" i="27" s="1"/>
  <c r="J29" i="27" s="1"/>
  <c r="J40" i="27" s="1"/>
  <c r="J46" i="27" s="1"/>
  <c r="E21" i="29" s="1"/>
  <c r="E26" i="29" s="1"/>
  <c r="J14" i="24"/>
  <c r="G10" i="24"/>
  <c r="H10" i="24" s="1"/>
  <c r="I10" i="24" s="1"/>
  <c r="J10" i="24" s="1"/>
  <c r="K10" i="24" s="1"/>
  <c r="F9" i="24"/>
  <c r="F7" i="24"/>
  <c r="G7" i="24" s="1"/>
  <c r="H7" i="24" s="1"/>
  <c r="I7" i="24" s="1"/>
  <c r="J7" i="24" s="1"/>
  <c r="K7" i="24" s="1"/>
  <c r="B33" i="6"/>
  <c r="C34" i="6"/>
  <c r="D34" i="6"/>
  <c r="B34" i="6"/>
  <c r="F34" i="6"/>
  <c r="G34" i="6"/>
  <c r="H34" i="6"/>
  <c r="I34" i="6"/>
  <c r="J34" i="6"/>
  <c r="K34" i="6"/>
  <c r="E34" i="6"/>
  <c r="K14" i="24" l="1"/>
  <c r="F11" i="24"/>
  <c r="G46" i="22"/>
  <c r="H46" i="22"/>
  <c r="I46" i="22"/>
  <c r="J46" i="22"/>
  <c r="K46" i="22"/>
  <c r="D39" i="10"/>
  <c r="E39" i="10"/>
  <c r="F39" i="10"/>
  <c r="G39" i="10"/>
  <c r="H39" i="10"/>
  <c r="I39" i="10"/>
  <c r="J39" i="10"/>
  <c r="K39" i="10"/>
  <c r="L39" i="10"/>
  <c r="M39" i="10"/>
  <c r="N39" i="10"/>
  <c r="C39" i="10"/>
  <c r="C113" i="8"/>
  <c r="D37" i="10"/>
  <c r="E37" i="10"/>
  <c r="F37" i="10"/>
  <c r="G37" i="10"/>
  <c r="H37" i="10"/>
  <c r="I37" i="10"/>
  <c r="J37" i="10"/>
  <c r="K37" i="10"/>
  <c r="L37" i="10"/>
  <c r="M37" i="10"/>
  <c r="N37" i="10"/>
  <c r="C37" i="10"/>
  <c r="G26" i="10"/>
  <c r="D26" i="10"/>
  <c r="E26" i="10"/>
  <c r="F26" i="10"/>
  <c r="H26" i="10"/>
  <c r="I26" i="10"/>
  <c r="J26" i="10"/>
  <c r="K26" i="10"/>
  <c r="L26" i="10"/>
  <c r="M26" i="10"/>
  <c r="N26" i="10"/>
  <c r="C26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C71" i="8"/>
  <c r="H7" i="22"/>
  <c r="H44" i="22" s="1"/>
  <c r="H60" i="22" s="1"/>
  <c r="I7" i="22"/>
  <c r="I44" i="22" s="1"/>
  <c r="I60" i="22" s="1"/>
  <c r="J7" i="22"/>
  <c r="J44" i="22" s="1"/>
  <c r="J60" i="22" s="1"/>
  <c r="K7" i="22"/>
  <c r="K44" i="22" s="1"/>
  <c r="K60" i="22" s="1"/>
  <c r="G7" i="22"/>
  <c r="G44" i="22" s="1"/>
  <c r="G60" i="22" s="1"/>
  <c r="H35" i="22"/>
  <c r="I35" i="22"/>
  <c r="J35" i="22"/>
  <c r="K35" i="22"/>
  <c r="G35" i="22"/>
  <c r="B35" i="22"/>
  <c r="H25" i="22"/>
  <c r="I25" i="22"/>
  <c r="J25" i="22"/>
  <c r="K25" i="22"/>
  <c r="H26" i="22"/>
  <c r="I26" i="22"/>
  <c r="J26" i="22"/>
  <c r="K26" i="22"/>
  <c r="H27" i="22"/>
  <c r="I27" i="22"/>
  <c r="J27" i="22"/>
  <c r="K27" i="22"/>
  <c r="H28" i="22"/>
  <c r="I28" i="22"/>
  <c r="J28" i="22"/>
  <c r="K28" i="22"/>
  <c r="H29" i="22"/>
  <c r="I29" i="22"/>
  <c r="J29" i="22"/>
  <c r="K29" i="22"/>
  <c r="H30" i="22"/>
  <c r="I30" i="22"/>
  <c r="J30" i="22"/>
  <c r="K30" i="22"/>
  <c r="H31" i="22"/>
  <c r="I31" i="22"/>
  <c r="J31" i="22"/>
  <c r="K31" i="22"/>
  <c r="H32" i="22"/>
  <c r="I32" i="22"/>
  <c r="J32" i="22"/>
  <c r="K32" i="22"/>
  <c r="G26" i="22"/>
  <c r="G27" i="22"/>
  <c r="G28" i="22"/>
  <c r="G29" i="22"/>
  <c r="G30" i="22"/>
  <c r="G31" i="22"/>
  <c r="G32" i="22"/>
  <c r="G25" i="22"/>
  <c r="B32" i="22"/>
  <c r="B31" i="22"/>
  <c r="B26" i="22"/>
  <c r="B27" i="22"/>
  <c r="B28" i="22"/>
  <c r="B29" i="22"/>
  <c r="B30" i="22"/>
  <c r="B25" i="22"/>
  <c r="H17" i="22"/>
  <c r="I17" i="22"/>
  <c r="J17" i="22"/>
  <c r="K17" i="22"/>
  <c r="H18" i="22"/>
  <c r="I18" i="22"/>
  <c r="J18" i="22"/>
  <c r="K18" i="22"/>
  <c r="H19" i="22"/>
  <c r="I19" i="22"/>
  <c r="J19" i="22"/>
  <c r="K19" i="22"/>
  <c r="G18" i="22"/>
  <c r="G19" i="22"/>
  <c r="G17" i="22"/>
  <c r="B18" i="22"/>
  <c r="B19" i="22"/>
  <c r="B17" i="22"/>
  <c r="G11" i="22"/>
  <c r="H11" i="22"/>
  <c r="I11" i="22"/>
  <c r="J11" i="22"/>
  <c r="K11" i="22"/>
  <c r="G12" i="22"/>
  <c r="H12" i="22"/>
  <c r="I12" i="22"/>
  <c r="J12" i="22"/>
  <c r="K12" i="22"/>
  <c r="G13" i="22"/>
  <c r="H13" i="22"/>
  <c r="I13" i="22"/>
  <c r="J13" i="22"/>
  <c r="K13" i="22"/>
  <c r="H10" i="22"/>
  <c r="I10" i="22"/>
  <c r="J10" i="22"/>
  <c r="K10" i="22"/>
  <c r="G10" i="22"/>
  <c r="B13" i="22"/>
  <c r="B11" i="22"/>
  <c r="B12" i="22"/>
  <c r="B10" i="22"/>
  <c r="D29" i="21"/>
  <c r="E29" i="21"/>
  <c r="F29" i="21"/>
  <c r="G29" i="21"/>
  <c r="H29" i="21"/>
  <c r="I29" i="21"/>
  <c r="J29" i="21"/>
  <c r="K29" i="21"/>
  <c r="L29" i="21"/>
  <c r="M29" i="21"/>
  <c r="N29" i="21"/>
  <c r="C29" i="21"/>
  <c r="J9" i="17"/>
  <c r="J15" i="17" s="1"/>
  <c r="J35" i="20"/>
  <c r="C34" i="20"/>
  <c r="C36" i="20" s="1"/>
  <c r="D35" i="20" s="1"/>
  <c r="E26" i="20"/>
  <c r="E28" i="20" s="1"/>
  <c r="J43" i="20" s="1"/>
  <c r="F21" i="20"/>
  <c r="F20" i="20"/>
  <c r="J16" i="20"/>
  <c r="W19" i="17"/>
  <c r="D38" i="15"/>
  <c r="E38" i="15"/>
  <c r="F38" i="15"/>
  <c r="G38" i="15"/>
  <c r="H38" i="15"/>
  <c r="I38" i="15"/>
  <c r="J38" i="15"/>
  <c r="K38" i="15"/>
  <c r="L38" i="15"/>
  <c r="D39" i="15"/>
  <c r="E39" i="15"/>
  <c r="F39" i="15"/>
  <c r="G39" i="15"/>
  <c r="H39" i="15"/>
  <c r="I39" i="15"/>
  <c r="J39" i="15"/>
  <c r="K39" i="15"/>
  <c r="L39" i="15"/>
  <c r="D40" i="15"/>
  <c r="E40" i="15"/>
  <c r="F40" i="15"/>
  <c r="G40" i="15"/>
  <c r="H40" i="15"/>
  <c r="I40" i="15"/>
  <c r="J40" i="15"/>
  <c r="K40" i="15"/>
  <c r="L40" i="15"/>
  <c r="C39" i="15"/>
  <c r="C40" i="15"/>
  <c r="D37" i="15"/>
  <c r="E37" i="15"/>
  <c r="F37" i="15"/>
  <c r="G37" i="15"/>
  <c r="H37" i="15"/>
  <c r="I37" i="15"/>
  <c r="J37" i="15"/>
  <c r="K37" i="15"/>
  <c r="L37" i="15"/>
  <c r="C35" i="15"/>
  <c r="D35" i="15"/>
  <c r="E35" i="15"/>
  <c r="F35" i="15"/>
  <c r="G35" i="15"/>
  <c r="H35" i="15"/>
  <c r="I35" i="15"/>
  <c r="J35" i="15"/>
  <c r="K35" i="15"/>
  <c r="L35" i="15"/>
  <c r="C36" i="15"/>
  <c r="D36" i="15"/>
  <c r="E36" i="15"/>
  <c r="F36" i="15"/>
  <c r="G36" i="15"/>
  <c r="H36" i="15"/>
  <c r="I36" i="15"/>
  <c r="J36" i="15"/>
  <c r="K36" i="15"/>
  <c r="L36" i="15"/>
  <c r="D34" i="15"/>
  <c r="E34" i="15"/>
  <c r="F34" i="15"/>
  <c r="G34" i="15"/>
  <c r="H34" i="15"/>
  <c r="I34" i="15"/>
  <c r="J34" i="15"/>
  <c r="K34" i="15"/>
  <c r="L34" i="15"/>
  <c r="D28" i="15"/>
  <c r="E28" i="15"/>
  <c r="F28" i="15"/>
  <c r="G28" i="15"/>
  <c r="H28" i="15"/>
  <c r="I28" i="15"/>
  <c r="J28" i="15"/>
  <c r="K28" i="15"/>
  <c r="L28" i="15"/>
  <c r="D29" i="15"/>
  <c r="E29" i="15"/>
  <c r="F29" i="15"/>
  <c r="G29" i="15"/>
  <c r="H29" i="15"/>
  <c r="I29" i="15"/>
  <c r="J29" i="15"/>
  <c r="K29" i="15"/>
  <c r="L29" i="15"/>
  <c r="D30" i="15"/>
  <c r="E30" i="15"/>
  <c r="F30" i="15"/>
  <c r="G30" i="15"/>
  <c r="H30" i="15"/>
  <c r="I30" i="15"/>
  <c r="J30" i="15"/>
  <c r="K30" i="15"/>
  <c r="L30" i="15"/>
  <c r="D31" i="15"/>
  <c r="E31" i="15"/>
  <c r="F31" i="15"/>
  <c r="G31" i="15"/>
  <c r="H31" i="15"/>
  <c r="I31" i="15"/>
  <c r="J31" i="15"/>
  <c r="K31" i="15"/>
  <c r="L31" i="15"/>
  <c r="C29" i="15"/>
  <c r="C30" i="15"/>
  <c r="C31" i="15"/>
  <c r="D27" i="15"/>
  <c r="E27" i="15"/>
  <c r="F27" i="15"/>
  <c r="G27" i="15"/>
  <c r="H27" i="15"/>
  <c r="I27" i="15"/>
  <c r="J27" i="15"/>
  <c r="K27" i="15"/>
  <c r="L27" i="15"/>
  <c r="D33" i="15"/>
  <c r="E33" i="15"/>
  <c r="F33" i="15"/>
  <c r="G33" i="15"/>
  <c r="H33" i="15"/>
  <c r="I33" i="15"/>
  <c r="J33" i="15"/>
  <c r="K33" i="15"/>
  <c r="L33" i="15"/>
  <c r="C38" i="15"/>
  <c r="C37" i="15"/>
  <c r="C34" i="15"/>
  <c r="C33" i="15"/>
  <c r="C74" i="6"/>
  <c r="D74" i="6"/>
  <c r="E74" i="6"/>
  <c r="F74" i="6"/>
  <c r="G74" i="6"/>
  <c r="H74" i="6"/>
  <c r="I74" i="6"/>
  <c r="J74" i="6"/>
  <c r="K74" i="6"/>
  <c r="B74" i="6"/>
  <c r="C76" i="6"/>
  <c r="D76" i="6"/>
  <c r="E76" i="6"/>
  <c r="F76" i="6"/>
  <c r="G76" i="6"/>
  <c r="H76" i="6"/>
  <c r="I76" i="6"/>
  <c r="J76" i="6"/>
  <c r="K76" i="6"/>
  <c r="B76" i="6"/>
  <c r="C28" i="15"/>
  <c r="C27" i="15"/>
  <c r="D25" i="15"/>
  <c r="E25" i="15"/>
  <c r="F25" i="15"/>
  <c r="G25" i="15"/>
  <c r="H25" i="15"/>
  <c r="I25" i="15"/>
  <c r="J25" i="15"/>
  <c r="K25" i="15"/>
  <c r="L25" i="15"/>
  <c r="C25" i="15"/>
  <c r="C4" i="15"/>
  <c r="B40" i="15"/>
  <c r="B29" i="15"/>
  <c r="B30" i="15"/>
  <c r="B31" i="15"/>
  <c r="B34" i="15"/>
  <c r="B35" i="15"/>
  <c r="B36" i="15"/>
  <c r="B37" i="15"/>
  <c r="B38" i="15"/>
  <c r="B39" i="15"/>
  <c r="B28" i="15"/>
  <c r="B23" i="15"/>
  <c r="D6" i="15"/>
  <c r="E6" i="15"/>
  <c r="F6" i="15"/>
  <c r="G6" i="15"/>
  <c r="H6" i="15"/>
  <c r="I6" i="15"/>
  <c r="J6" i="15"/>
  <c r="K6" i="15"/>
  <c r="L6" i="15"/>
  <c r="D7" i="15"/>
  <c r="E7" i="15"/>
  <c r="F7" i="15"/>
  <c r="G7" i="15"/>
  <c r="H7" i="15"/>
  <c r="I7" i="15"/>
  <c r="J7" i="15"/>
  <c r="K7" i="15"/>
  <c r="L7" i="15"/>
  <c r="D8" i="15"/>
  <c r="E8" i="15"/>
  <c r="F8" i="15"/>
  <c r="G8" i="15"/>
  <c r="H8" i="15"/>
  <c r="I8" i="15"/>
  <c r="J8" i="15"/>
  <c r="K8" i="15"/>
  <c r="L8" i="15"/>
  <c r="D9" i="15"/>
  <c r="E9" i="15"/>
  <c r="F9" i="15"/>
  <c r="G9" i="15"/>
  <c r="H9" i="15"/>
  <c r="I9" i="15"/>
  <c r="J9" i="15"/>
  <c r="K9" i="15"/>
  <c r="L9" i="15"/>
  <c r="D10" i="15"/>
  <c r="E10" i="15"/>
  <c r="F10" i="15"/>
  <c r="G10" i="15"/>
  <c r="H10" i="15"/>
  <c r="I10" i="15"/>
  <c r="J10" i="15"/>
  <c r="K10" i="15"/>
  <c r="L10" i="15"/>
  <c r="D11" i="15"/>
  <c r="E11" i="15"/>
  <c r="F11" i="15"/>
  <c r="G11" i="15"/>
  <c r="H11" i="15"/>
  <c r="I11" i="15"/>
  <c r="J11" i="15"/>
  <c r="K11" i="15"/>
  <c r="L11" i="15"/>
  <c r="D12" i="15"/>
  <c r="E12" i="15"/>
  <c r="F12" i="15"/>
  <c r="G12" i="15"/>
  <c r="H12" i="15"/>
  <c r="I12" i="15"/>
  <c r="J12" i="15"/>
  <c r="K12" i="15"/>
  <c r="L12" i="15"/>
  <c r="D13" i="15"/>
  <c r="E13" i="15"/>
  <c r="F13" i="15"/>
  <c r="G13" i="15"/>
  <c r="H13" i="15"/>
  <c r="I13" i="15"/>
  <c r="J13" i="15"/>
  <c r="K13" i="15"/>
  <c r="L13" i="15"/>
  <c r="D14" i="15"/>
  <c r="E14" i="15"/>
  <c r="F14" i="15"/>
  <c r="G14" i="15"/>
  <c r="H14" i="15"/>
  <c r="I14" i="15"/>
  <c r="J14" i="15"/>
  <c r="K14" i="15"/>
  <c r="L14" i="15"/>
  <c r="D15" i="15"/>
  <c r="E15" i="15"/>
  <c r="F15" i="15"/>
  <c r="G15" i="15"/>
  <c r="H15" i="15"/>
  <c r="I15" i="15"/>
  <c r="J15" i="15"/>
  <c r="K15" i="15"/>
  <c r="L15" i="15"/>
  <c r="D16" i="15"/>
  <c r="E16" i="15"/>
  <c r="F16" i="15"/>
  <c r="G16" i="15"/>
  <c r="H16" i="15"/>
  <c r="I16" i="15"/>
  <c r="J16" i="15"/>
  <c r="K16" i="15"/>
  <c r="L16" i="15"/>
  <c r="D17" i="15"/>
  <c r="E17" i="15"/>
  <c r="F17" i="15"/>
  <c r="G17" i="15"/>
  <c r="H17" i="15"/>
  <c r="I17" i="15"/>
  <c r="J17" i="15"/>
  <c r="K17" i="15"/>
  <c r="L17" i="15"/>
  <c r="D18" i="15"/>
  <c r="E18" i="15"/>
  <c r="F18" i="15"/>
  <c r="G18" i="15"/>
  <c r="H18" i="15"/>
  <c r="I18" i="15"/>
  <c r="J18" i="15"/>
  <c r="K18" i="15"/>
  <c r="L18" i="15"/>
  <c r="D19" i="15"/>
  <c r="E19" i="15"/>
  <c r="F19" i="15"/>
  <c r="G19" i="15"/>
  <c r="H19" i="15"/>
  <c r="I19" i="15"/>
  <c r="J19" i="15"/>
  <c r="K19" i="15"/>
  <c r="L19" i="15"/>
  <c r="D20" i="15"/>
  <c r="E20" i="15"/>
  <c r="F20" i="15"/>
  <c r="G20" i="15"/>
  <c r="H20" i="15"/>
  <c r="I20" i="15"/>
  <c r="J20" i="15"/>
  <c r="K20" i="15"/>
  <c r="L20" i="15"/>
  <c r="D21" i="15"/>
  <c r="E21" i="15"/>
  <c r="F21" i="15"/>
  <c r="G21" i="15"/>
  <c r="H21" i="15"/>
  <c r="I21" i="15"/>
  <c r="J21" i="15"/>
  <c r="K21" i="15"/>
  <c r="L21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6" i="15"/>
  <c r="D4" i="15"/>
  <c r="E4" i="15"/>
  <c r="F4" i="15"/>
  <c r="G4" i="15"/>
  <c r="H4" i="15"/>
  <c r="I4" i="15"/>
  <c r="J4" i="15"/>
  <c r="K4" i="15"/>
  <c r="L4" i="15"/>
  <c r="C33" i="6"/>
  <c r="D33" i="6"/>
  <c r="E33" i="6"/>
  <c r="F33" i="6"/>
  <c r="G33" i="6"/>
  <c r="H33" i="6"/>
  <c r="I33" i="6"/>
  <c r="J33" i="6"/>
  <c r="K33" i="6"/>
  <c r="G25" i="13"/>
  <c r="G28" i="13"/>
  <c r="G29" i="13" s="1"/>
  <c r="H27" i="13"/>
  <c r="H28" i="13" s="1"/>
  <c r="H29" i="13" s="1"/>
  <c r="H30" i="13" s="1"/>
  <c r="H31" i="13" s="1"/>
  <c r="H32" i="13" s="1"/>
  <c r="H33" i="13" s="1"/>
  <c r="H34" i="13" s="1"/>
  <c r="H35" i="13" s="1"/>
  <c r="H36" i="13" s="1"/>
  <c r="H37" i="13" s="1"/>
  <c r="H38" i="13" s="1"/>
  <c r="H39" i="13" s="1"/>
  <c r="H40" i="13" s="1"/>
  <c r="H41" i="13" s="1"/>
  <c r="M8" i="13"/>
  <c r="M9" i="13" s="1"/>
  <c r="M10" i="13" s="1"/>
  <c r="M11" i="13" s="1"/>
  <c r="M12" i="13" s="1"/>
  <c r="M13" i="13" s="1"/>
  <c r="M14" i="13" s="1"/>
  <c r="M15" i="13" s="1"/>
  <c r="M16" i="13" s="1"/>
  <c r="M17" i="13" s="1"/>
  <c r="M18" i="13" s="1"/>
  <c r="M19" i="13" s="1"/>
  <c r="M20" i="13" s="1"/>
  <c r="M21" i="13" s="1"/>
  <c r="M22" i="13" s="1"/>
  <c r="L6" i="13"/>
  <c r="L9" i="13"/>
  <c r="L10" i="13" s="1"/>
  <c r="L11" i="13" s="1"/>
  <c r="L12" i="13" s="1"/>
  <c r="L13" i="13" s="1"/>
  <c r="L14" i="13" s="1"/>
  <c r="L15" i="13" s="1"/>
  <c r="L16" i="13" s="1"/>
  <c r="L17" i="13" s="1"/>
  <c r="L18" i="13" s="1"/>
  <c r="D8" i="13" a="1"/>
  <c r="D8" i="13" s="1"/>
  <c r="H8" i="13"/>
  <c r="H9" i="13" s="1"/>
  <c r="H10" i="13" s="1"/>
  <c r="H11" i="13" s="1"/>
  <c r="H12" i="13" s="1"/>
  <c r="H13" i="13" s="1"/>
  <c r="H14" i="13" s="1"/>
  <c r="H15" i="13" s="1"/>
  <c r="H16" i="13" s="1"/>
  <c r="H17" i="13" s="1"/>
  <c r="C8" i="13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G6" i="13"/>
  <c r="B6" i="13"/>
  <c r="G9" i="13"/>
  <c r="G10" i="13" s="1"/>
  <c r="G11" i="13" s="1"/>
  <c r="G12" i="13" s="1"/>
  <c r="G13" i="13" s="1"/>
  <c r="G14" i="13" s="1"/>
  <c r="G15" i="13" s="1"/>
  <c r="G16" i="13" s="1"/>
  <c r="G17" i="13" s="1"/>
  <c r="G18" i="13" s="1"/>
  <c r="B9" i="13"/>
  <c r="B10" i="13" s="1"/>
  <c r="B11" i="13" s="1"/>
  <c r="B12" i="13" s="1"/>
  <c r="B13" i="13" s="1"/>
  <c r="B14" i="13" s="1"/>
  <c r="B15" i="13" s="1"/>
  <c r="B16" i="13" s="1"/>
  <c r="B17" i="13" s="1"/>
  <c r="B18" i="13" s="1"/>
  <c r="G30" i="13" l="1"/>
  <c r="G31" i="13" s="1"/>
  <c r="G32" i="13" s="1"/>
  <c r="G33" i="13" s="1"/>
  <c r="G34" i="13" s="1"/>
  <c r="G35" i="13" s="1"/>
  <c r="G36" i="13" s="1"/>
  <c r="G37" i="13" s="1"/>
  <c r="G38" i="13" s="1"/>
  <c r="B19" i="13"/>
  <c r="B20" i="13" s="1"/>
  <c r="B21" i="13" s="1"/>
  <c r="B22" i="13" s="1"/>
  <c r="H18" i="13"/>
  <c r="H19" i="13" s="1"/>
  <c r="H20" i="13" s="1"/>
  <c r="H21" i="13" s="1"/>
  <c r="H22" i="13" s="1"/>
  <c r="W20" i="17"/>
  <c r="J17" i="20"/>
  <c r="J20" i="20" s="1"/>
  <c r="J34" i="22"/>
  <c r="J36" i="22" s="1"/>
  <c r="I34" i="22"/>
  <c r="I36" i="22" s="1"/>
  <c r="H34" i="22"/>
  <c r="H36" i="22" s="1"/>
  <c r="K20" i="22"/>
  <c r="G34" i="22"/>
  <c r="G36" i="22" s="1"/>
  <c r="K34" i="22"/>
  <c r="K36" i="22" s="1"/>
  <c r="K14" i="22"/>
  <c r="K22" i="22" s="1"/>
  <c r="I20" i="22"/>
  <c r="I14" i="22"/>
  <c r="J14" i="22"/>
  <c r="G14" i="22"/>
  <c r="J20" i="22"/>
  <c r="H14" i="22"/>
  <c r="G20" i="22"/>
  <c r="H20" i="22"/>
  <c r="G21" i="20"/>
  <c r="D34" i="20"/>
  <c r="H21" i="20"/>
  <c r="L19" i="13"/>
  <c r="D15" i="13"/>
  <c r="D14" i="13"/>
  <c r="D10" i="13"/>
  <c r="D17" i="13"/>
  <c r="D9" i="13"/>
  <c r="D13" i="13"/>
  <c r="D12" i="13"/>
  <c r="D11" i="13"/>
  <c r="D16" i="13"/>
  <c r="E16" i="13" s="1"/>
  <c r="G19" i="13"/>
  <c r="D18" i="13" l="1"/>
  <c r="E18" i="13" s="1"/>
  <c r="E12" i="13"/>
  <c r="D22" i="13"/>
  <c r="D36" i="20"/>
  <c r="E36" i="20" s="1"/>
  <c r="D38" i="20"/>
  <c r="I22" i="22"/>
  <c r="I38" i="22" s="1"/>
  <c r="K38" i="22"/>
  <c r="G22" i="22"/>
  <c r="G38" i="22" s="1"/>
  <c r="J22" i="22"/>
  <c r="H22" i="22"/>
  <c r="I21" i="20"/>
  <c r="J21" i="20"/>
  <c r="J33" i="20" s="1"/>
  <c r="G39" i="13"/>
  <c r="D20" i="13"/>
  <c r="E9" i="13"/>
  <c r="E11" i="13"/>
  <c r="L20" i="13"/>
  <c r="E15" i="13"/>
  <c r="D21" i="13"/>
  <c r="E17" i="13"/>
  <c r="E13" i="13"/>
  <c r="E10" i="13"/>
  <c r="D19" i="13"/>
  <c r="E14" i="13"/>
  <c r="G20" i="13"/>
  <c r="E20" i="13" l="1"/>
  <c r="E35" i="20"/>
  <c r="H47" i="22"/>
  <c r="J38" i="22"/>
  <c r="K47" i="22"/>
  <c r="K53" i="22" s="1"/>
  <c r="H38" i="22"/>
  <c r="I47" i="22"/>
  <c r="I53" i="22" s="1"/>
  <c r="G40" i="13"/>
  <c r="E21" i="13"/>
  <c r="E19" i="13"/>
  <c r="L21" i="13"/>
  <c r="E22" i="13"/>
  <c r="G21" i="13"/>
  <c r="J41" i="20" l="1"/>
  <c r="E38" i="20"/>
  <c r="J34" i="20" s="1"/>
  <c r="J36" i="20" s="1"/>
  <c r="J28" i="20" s="1"/>
  <c r="J29" i="20" s="1"/>
  <c r="G41" i="13"/>
  <c r="L22" i="13"/>
  <c r="G22" i="13"/>
  <c r="J40" i="20" l="1"/>
  <c r="J46" i="20" s="1"/>
  <c r="C30" i="12"/>
  <c r="C36" i="12" s="1"/>
  <c r="D30" i="12"/>
  <c r="D36" i="12" s="1"/>
  <c r="E30" i="12"/>
  <c r="E36" i="12" s="1"/>
  <c r="F30" i="12"/>
  <c r="F36" i="12" s="1"/>
  <c r="G30" i="12"/>
  <c r="G36" i="12" s="1"/>
  <c r="H30" i="12"/>
  <c r="H36" i="12" s="1"/>
  <c r="I30" i="12"/>
  <c r="I36" i="12" s="1"/>
  <c r="J30" i="12"/>
  <c r="J36" i="12" s="1"/>
  <c r="K30" i="12"/>
  <c r="K36" i="12" s="1"/>
  <c r="C29" i="12"/>
  <c r="C35" i="12" s="1"/>
  <c r="D29" i="12"/>
  <c r="E29" i="12"/>
  <c r="E35" i="12" s="1"/>
  <c r="F29" i="12"/>
  <c r="F35" i="12" s="1"/>
  <c r="G29" i="12"/>
  <c r="G35" i="12" s="1"/>
  <c r="H29" i="12"/>
  <c r="H35" i="12" s="1"/>
  <c r="I29" i="12"/>
  <c r="I35" i="12" s="1"/>
  <c r="J29" i="12"/>
  <c r="K29" i="12"/>
  <c r="K35" i="12" s="1"/>
  <c r="L29" i="12"/>
  <c r="C31" i="12"/>
  <c r="C37" i="12" s="1"/>
  <c r="J35" i="12"/>
  <c r="L33" i="12"/>
  <c r="K33" i="12"/>
  <c r="J33" i="12"/>
  <c r="I33" i="12"/>
  <c r="H33" i="12"/>
  <c r="G33" i="12"/>
  <c r="F33" i="12"/>
  <c r="E33" i="12"/>
  <c r="D33" i="12"/>
  <c r="L32" i="12"/>
  <c r="K32" i="12"/>
  <c r="J32" i="12"/>
  <c r="I32" i="12"/>
  <c r="H32" i="12"/>
  <c r="G32" i="12"/>
  <c r="F32" i="12"/>
  <c r="E32" i="12"/>
  <c r="D32" i="12"/>
  <c r="L31" i="12"/>
  <c r="L37" i="12" s="1"/>
  <c r="K31" i="12"/>
  <c r="K37" i="12" s="1"/>
  <c r="J31" i="12"/>
  <c r="J37" i="12" s="1"/>
  <c r="I31" i="12"/>
  <c r="I37" i="12" s="1"/>
  <c r="H31" i="12"/>
  <c r="H37" i="12" s="1"/>
  <c r="G31" i="12"/>
  <c r="G37" i="12" s="1"/>
  <c r="F31" i="12"/>
  <c r="F37" i="12" s="1"/>
  <c r="E31" i="12"/>
  <c r="E37" i="12" s="1"/>
  <c r="D31" i="12"/>
  <c r="D37" i="12" s="1"/>
  <c r="L30" i="12"/>
  <c r="L36" i="12" s="1"/>
  <c r="L35" i="12"/>
  <c r="D35" i="12"/>
  <c r="C33" i="12"/>
  <c r="C32" i="12"/>
  <c r="B2" i="12"/>
  <c r="L3" i="12"/>
  <c r="K3" i="12"/>
  <c r="J3" i="12"/>
  <c r="I3" i="12"/>
  <c r="H3" i="12"/>
  <c r="G3" i="12"/>
  <c r="F3" i="12"/>
  <c r="E3" i="12"/>
  <c r="D3" i="12"/>
  <c r="C3" i="12"/>
  <c r="O32" i="12" l="1"/>
  <c r="O33" i="12"/>
  <c r="N32" i="12"/>
  <c r="O37" i="12"/>
  <c r="N33" i="12"/>
  <c r="N37" i="12"/>
  <c r="E21" i="24"/>
  <c r="E26" i="24" s="1"/>
  <c r="N35" i="12"/>
  <c r="N36" i="12"/>
  <c r="O36" i="12"/>
  <c r="N30" i="12"/>
  <c r="O35" i="12"/>
  <c r="O30" i="12"/>
  <c r="N29" i="12"/>
  <c r="N31" i="12"/>
  <c r="O29" i="12"/>
  <c r="O31" i="12"/>
  <c r="E38" i="12"/>
  <c r="F38" i="12"/>
  <c r="C38" i="12"/>
  <c r="G38" i="12"/>
  <c r="J38" i="12"/>
  <c r="I38" i="12"/>
  <c r="D38" i="12"/>
  <c r="H38" i="12"/>
  <c r="K38" i="12"/>
  <c r="L38" i="12"/>
  <c r="C95" i="8"/>
  <c r="D95" i="8"/>
  <c r="E95" i="8"/>
  <c r="F95" i="8"/>
  <c r="G95" i="8"/>
  <c r="H95" i="8"/>
  <c r="I95" i="8"/>
  <c r="J95" i="8"/>
  <c r="K95" i="8"/>
  <c r="L95" i="8"/>
  <c r="C96" i="8"/>
  <c r="D96" i="8"/>
  <c r="E96" i="8"/>
  <c r="F96" i="8"/>
  <c r="G96" i="8"/>
  <c r="H96" i="8"/>
  <c r="I96" i="8"/>
  <c r="J96" i="8"/>
  <c r="K96" i="8"/>
  <c r="L96" i="8"/>
  <c r="C97" i="8"/>
  <c r="D97" i="8"/>
  <c r="E97" i="8"/>
  <c r="F97" i="8"/>
  <c r="G97" i="8"/>
  <c r="H97" i="8"/>
  <c r="I97" i="8"/>
  <c r="J97" i="8"/>
  <c r="K97" i="8"/>
  <c r="L97" i="8"/>
  <c r="C98" i="8"/>
  <c r="D98" i="8"/>
  <c r="E98" i="8"/>
  <c r="F98" i="8"/>
  <c r="G98" i="8"/>
  <c r="H98" i="8"/>
  <c r="I98" i="8"/>
  <c r="J98" i="8"/>
  <c r="K98" i="8"/>
  <c r="L98" i="8"/>
  <c r="C99" i="8"/>
  <c r="D99" i="8"/>
  <c r="E99" i="8"/>
  <c r="F99" i="8"/>
  <c r="G99" i="8"/>
  <c r="H99" i="8"/>
  <c r="I99" i="8"/>
  <c r="J99" i="8"/>
  <c r="K99" i="8"/>
  <c r="L99" i="8"/>
  <c r="C100" i="8"/>
  <c r="D100" i="8"/>
  <c r="E100" i="8"/>
  <c r="F100" i="8"/>
  <c r="G100" i="8"/>
  <c r="H100" i="8"/>
  <c r="I100" i="8"/>
  <c r="J100" i="8"/>
  <c r="K100" i="8"/>
  <c r="L100" i="8"/>
  <c r="D94" i="8"/>
  <c r="E94" i="8"/>
  <c r="F94" i="8"/>
  <c r="G94" i="8"/>
  <c r="H94" i="8"/>
  <c r="I94" i="8"/>
  <c r="J94" i="8"/>
  <c r="K94" i="8"/>
  <c r="L94" i="8"/>
  <c r="C94" i="8"/>
  <c r="C81" i="8"/>
  <c r="D81" i="8"/>
  <c r="E81" i="8"/>
  <c r="F81" i="8"/>
  <c r="G81" i="8"/>
  <c r="H81" i="8"/>
  <c r="I81" i="8"/>
  <c r="J81" i="8"/>
  <c r="K81" i="8"/>
  <c r="L81" i="8"/>
  <c r="D82" i="8"/>
  <c r="E82" i="8"/>
  <c r="F82" i="8"/>
  <c r="G82" i="8"/>
  <c r="H82" i="8"/>
  <c r="I82" i="8"/>
  <c r="J82" i="8"/>
  <c r="K82" i="8"/>
  <c r="L82" i="8"/>
  <c r="D83" i="8"/>
  <c r="E83" i="8"/>
  <c r="F83" i="8"/>
  <c r="G83" i="8"/>
  <c r="H83" i="8"/>
  <c r="I83" i="8"/>
  <c r="J83" i="8"/>
  <c r="K83" i="8"/>
  <c r="L83" i="8"/>
  <c r="D84" i="8"/>
  <c r="E84" i="8"/>
  <c r="F84" i="8"/>
  <c r="G84" i="8"/>
  <c r="H84" i="8"/>
  <c r="I84" i="8"/>
  <c r="J84" i="8"/>
  <c r="K84" i="8"/>
  <c r="L84" i="8"/>
  <c r="D85" i="8"/>
  <c r="E85" i="8"/>
  <c r="F85" i="8"/>
  <c r="G85" i="8"/>
  <c r="H85" i="8"/>
  <c r="I85" i="8"/>
  <c r="J85" i="8"/>
  <c r="K85" i="8"/>
  <c r="L85" i="8"/>
  <c r="D86" i="8"/>
  <c r="E86" i="8"/>
  <c r="F86" i="8"/>
  <c r="G86" i="8"/>
  <c r="H86" i="8"/>
  <c r="I86" i="8"/>
  <c r="J86" i="8"/>
  <c r="K86" i="8"/>
  <c r="L86" i="8"/>
  <c r="D87" i="8"/>
  <c r="E87" i="8"/>
  <c r="F87" i="8"/>
  <c r="G87" i="8"/>
  <c r="H87" i="8"/>
  <c r="I87" i="8"/>
  <c r="J87" i="8"/>
  <c r="K87" i="8"/>
  <c r="L87" i="8"/>
  <c r="D88" i="8"/>
  <c r="E88" i="8"/>
  <c r="F88" i="8"/>
  <c r="G88" i="8"/>
  <c r="H88" i="8"/>
  <c r="I88" i="8"/>
  <c r="J88" i="8"/>
  <c r="K88" i="8"/>
  <c r="L88" i="8"/>
  <c r="D89" i="8"/>
  <c r="E89" i="8"/>
  <c r="F89" i="8"/>
  <c r="G89" i="8"/>
  <c r="H89" i="8"/>
  <c r="I89" i="8"/>
  <c r="J89" i="8"/>
  <c r="K89" i="8"/>
  <c r="L89" i="8"/>
  <c r="D90" i="8"/>
  <c r="E90" i="8"/>
  <c r="F90" i="8"/>
  <c r="G90" i="8"/>
  <c r="H90" i="8"/>
  <c r="I90" i="8"/>
  <c r="J90" i="8"/>
  <c r="K90" i="8"/>
  <c r="L90" i="8"/>
  <c r="C82" i="8"/>
  <c r="C83" i="8"/>
  <c r="C84" i="8"/>
  <c r="C85" i="8"/>
  <c r="C86" i="8"/>
  <c r="C87" i="8"/>
  <c r="C88" i="8"/>
  <c r="C89" i="8"/>
  <c r="C90" i="8"/>
  <c r="M81" i="8"/>
  <c r="D71" i="8"/>
  <c r="E71" i="8"/>
  <c r="F71" i="8"/>
  <c r="G71" i="8"/>
  <c r="H71" i="8"/>
  <c r="I71" i="8"/>
  <c r="J71" i="8"/>
  <c r="K71" i="8"/>
  <c r="L71" i="8"/>
  <c r="D72" i="8"/>
  <c r="E72" i="8"/>
  <c r="F72" i="8"/>
  <c r="G72" i="8"/>
  <c r="H72" i="8"/>
  <c r="I72" i="8"/>
  <c r="J72" i="8"/>
  <c r="K72" i="8"/>
  <c r="L72" i="8"/>
  <c r="D73" i="8"/>
  <c r="E73" i="8"/>
  <c r="F73" i="8"/>
  <c r="G73" i="8"/>
  <c r="H73" i="8"/>
  <c r="I73" i="8"/>
  <c r="J73" i="8"/>
  <c r="K73" i="8"/>
  <c r="L73" i="8"/>
  <c r="D74" i="8"/>
  <c r="E74" i="8"/>
  <c r="F74" i="8"/>
  <c r="G74" i="8"/>
  <c r="H74" i="8"/>
  <c r="I74" i="8"/>
  <c r="J74" i="8"/>
  <c r="K74" i="8"/>
  <c r="L74" i="8"/>
  <c r="D75" i="8"/>
  <c r="E75" i="8"/>
  <c r="F75" i="8"/>
  <c r="G75" i="8"/>
  <c r="H75" i="8"/>
  <c r="I75" i="8"/>
  <c r="J75" i="8"/>
  <c r="K75" i="8"/>
  <c r="L75" i="8"/>
  <c r="D76" i="8"/>
  <c r="E76" i="8"/>
  <c r="F76" i="8"/>
  <c r="G76" i="8"/>
  <c r="H76" i="8"/>
  <c r="I76" i="8"/>
  <c r="J76" i="8"/>
  <c r="K76" i="8"/>
  <c r="L76" i="8"/>
  <c r="D77" i="8"/>
  <c r="E77" i="8"/>
  <c r="F77" i="8"/>
  <c r="G77" i="8"/>
  <c r="H77" i="8"/>
  <c r="I77" i="8"/>
  <c r="J77" i="8"/>
  <c r="K77" i="8"/>
  <c r="L77" i="8"/>
  <c r="C72" i="8"/>
  <c r="C73" i="8"/>
  <c r="C74" i="8"/>
  <c r="C75" i="8"/>
  <c r="C76" i="8"/>
  <c r="C77" i="8"/>
  <c r="D57" i="8"/>
  <c r="D58" i="8" s="1"/>
  <c r="E57" i="8"/>
  <c r="F57" i="8"/>
  <c r="G57" i="8"/>
  <c r="G58" i="8" s="1"/>
  <c r="H57" i="8"/>
  <c r="I57" i="8"/>
  <c r="J57" i="8"/>
  <c r="K57" i="8"/>
  <c r="L57" i="8"/>
  <c r="L58" i="8" s="1"/>
  <c r="C57" i="8"/>
  <c r="E63" i="8"/>
  <c r="F63" i="8"/>
  <c r="C63" i="8"/>
  <c r="D60" i="8"/>
  <c r="D63" i="8" s="1"/>
  <c r="E60" i="8"/>
  <c r="F60" i="8"/>
  <c r="G60" i="8"/>
  <c r="G63" i="8" s="1"/>
  <c r="H60" i="8"/>
  <c r="H63" i="8" s="1"/>
  <c r="I60" i="8"/>
  <c r="I63" i="8" s="1"/>
  <c r="J60" i="8"/>
  <c r="J63" i="8" s="1"/>
  <c r="K60" i="8"/>
  <c r="K63" i="8" s="1"/>
  <c r="L60" i="8"/>
  <c r="L63" i="8" s="1"/>
  <c r="D61" i="8"/>
  <c r="E61" i="8"/>
  <c r="F61" i="8"/>
  <c r="G61" i="8"/>
  <c r="H61" i="8"/>
  <c r="I61" i="8"/>
  <c r="J61" i="8"/>
  <c r="K61" i="8"/>
  <c r="L61" i="8"/>
  <c r="D62" i="8"/>
  <c r="E62" i="8"/>
  <c r="F62" i="8"/>
  <c r="G62" i="8"/>
  <c r="H62" i="8"/>
  <c r="I62" i="8"/>
  <c r="J62" i="8"/>
  <c r="K62" i="8"/>
  <c r="L62" i="8"/>
  <c r="C61" i="8"/>
  <c r="C62" i="8"/>
  <c r="C60" i="8"/>
  <c r="E58" i="8"/>
  <c r="F58" i="8"/>
  <c r="H58" i="8"/>
  <c r="D54" i="8"/>
  <c r="E54" i="8"/>
  <c r="F54" i="8"/>
  <c r="G54" i="8"/>
  <c r="H54" i="8"/>
  <c r="I54" i="8"/>
  <c r="J54" i="8"/>
  <c r="K54" i="8"/>
  <c r="L54" i="8"/>
  <c r="D55" i="8"/>
  <c r="E55" i="8"/>
  <c r="F55" i="8"/>
  <c r="G55" i="8"/>
  <c r="H55" i="8"/>
  <c r="I55" i="8"/>
  <c r="J55" i="8"/>
  <c r="K55" i="8"/>
  <c r="L55" i="8"/>
  <c r="D56" i="8"/>
  <c r="E56" i="8"/>
  <c r="F56" i="8"/>
  <c r="G56" i="8"/>
  <c r="H56" i="8"/>
  <c r="I56" i="8"/>
  <c r="J56" i="8"/>
  <c r="K56" i="8"/>
  <c r="L56" i="8"/>
  <c r="C55" i="8"/>
  <c r="C56" i="8"/>
  <c r="C54" i="8"/>
  <c r="E52" i="8"/>
  <c r="C52" i="8"/>
  <c r="C48" i="8"/>
  <c r="D48" i="8"/>
  <c r="E48" i="8"/>
  <c r="F48" i="8"/>
  <c r="F52" i="8" s="1"/>
  <c r="G48" i="8"/>
  <c r="G52" i="8" s="1"/>
  <c r="H48" i="8"/>
  <c r="H52" i="8" s="1"/>
  <c r="I48" i="8"/>
  <c r="I52" i="8" s="1"/>
  <c r="J48" i="8"/>
  <c r="J52" i="8" s="1"/>
  <c r="K48" i="8"/>
  <c r="L48" i="8"/>
  <c r="C49" i="8"/>
  <c r="D49" i="8"/>
  <c r="E49" i="8"/>
  <c r="F49" i="8"/>
  <c r="G49" i="8"/>
  <c r="H49" i="8"/>
  <c r="I49" i="8"/>
  <c r="J49" i="8"/>
  <c r="K49" i="8"/>
  <c r="L49" i="8"/>
  <c r="C50" i="8"/>
  <c r="D50" i="8"/>
  <c r="E50" i="8"/>
  <c r="F50" i="8"/>
  <c r="G50" i="8"/>
  <c r="H50" i="8"/>
  <c r="I50" i="8"/>
  <c r="J50" i="8"/>
  <c r="K50" i="8"/>
  <c r="L50" i="8"/>
  <c r="C51" i="8"/>
  <c r="D51" i="8"/>
  <c r="D52" i="8" s="1"/>
  <c r="E51" i="8"/>
  <c r="F51" i="8"/>
  <c r="G51" i="8"/>
  <c r="H51" i="8"/>
  <c r="I51" i="8"/>
  <c r="J51" i="8"/>
  <c r="K51" i="8"/>
  <c r="K52" i="8" s="1"/>
  <c r="L51" i="8"/>
  <c r="L52" i="8" s="1"/>
  <c r="D36" i="8"/>
  <c r="D41" i="8" s="1"/>
  <c r="E41" i="8"/>
  <c r="F36" i="8"/>
  <c r="F41" i="8" s="1"/>
  <c r="G36" i="8"/>
  <c r="G41" i="8" s="1"/>
  <c r="H36" i="8"/>
  <c r="H41" i="8" s="1"/>
  <c r="H11" i="12" s="1"/>
  <c r="I36" i="8"/>
  <c r="I41" i="8" s="1"/>
  <c r="J36" i="8"/>
  <c r="J41" i="8" s="1"/>
  <c r="J11" i="12" s="1"/>
  <c r="K36" i="8"/>
  <c r="K41" i="8" s="1"/>
  <c r="L36" i="8"/>
  <c r="L41" i="8" s="1"/>
  <c r="L11" i="12" s="1"/>
  <c r="M36" i="8"/>
  <c r="M41" i="8" s="1"/>
  <c r="C41" i="8"/>
  <c r="M30" i="8"/>
  <c r="D30" i="8"/>
  <c r="E30" i="8"/>
  <c r="F30" i="8"/>
  <c r="G30" i="8"/>
  <c r="H30" i="8"/>
  <c r="I30" i="8"/>
  <c r="J30" i="8"/>
  <c r="K30" i="8"/>
  <c r="L30" i="8"/>
  <c r="C30" i="8"/>
  <c r="M24" i="8"/>
  <c r="D24" i="8"/>
  <c r="E24" i="8"/>
  <c r="F24" i="8"/>
  <c r="G24" i="8"/>
  <c r="H24" i="8"/>
  <c r="I24" i="8"/>
  <c r="J24" i="8"/>
  <c r="K24" i="8"/>
  <c r="L24" i="8"/>
  <c r="C24" i="8"/>
  <c r="D21" i="8"/>
  <c r="E21" i="8"/>
  <c r="F21" i="8"/>
  <c r="G21" i="8"/>
  <c r="H21" i="8"/>
  <c r="I21" i="8"/>
  <c r="J21" i="8"/>
  <c r="K21" i="8"/>
  <c r="L21" i="8"/>
  <c r="M21" i="8"/>
  <c r="C21" i="8"/>
  <c r="M18" i="8"/>
  <c r="M15" i="8"/>
  <c r="E15" i="8"/>
  <c r="F15" i="8"/>
  <c r="G15" i="8"/>
  <c r="H15" i="8"/>
  <c r="I15" i="8"/>
  <c r="J15" i="8"/>
  <c r="K15" i="8"/>
  <c r="L15" i="8"/>
  <c r="D9" i="8"/>
  <c r="E9" i="8"/>
  <c r="F9" i="8"/>
  <c r="G9" i="8"/>
  <c r="H9" i="8"/>
  <c r="I9" i="8"/>
  <c r="J9" i="8"/>
  <c r="K9" i="8"/>
  <c r="L9" i="8"/>
  <c r="M9" i="8"/>
  <c r="M6" i="8"/>
  <c r="M12" i="8" s="1"/>
  <c r="M13" i="8" s="1"/>
  <c r="D6" i="8"/>
  <c r="E6" i="8"/>
  <c r="F6" i="8"/>
  <c r="G6" i="8"/>
  <c r="G7" i="8" s="1"/>
  <c r="G5" i="12" s="1"/>
  <c r="H6" i="8"/>
  <c r="I6" i="8"/>
  <c r="J6" i="8"/>
  <c r="K6" i="8"/>
  <c r="L6" i="8"/>
  <c r="C6" i="8"/>
  <c r="C3" i="8"/>
  <c r="D3" i="8"/>
  <c r="E3" i="8"/>
  <c r="F3" i="8"/>
  <c r="G3" i="8"/>
  <c r="H3" i="8"/>
  <c r="I3" i="8"/>
  <c r="J3" i="8"/>
  <c r="K3" i="8"/>
  <c r="L3" i="8"/>
  <c r="B6" i="6"/>
  <c r="F11" i="12" l="1"/>
  <c r="E11" i="12"/>
  <c r="D11" i="12"/>
  <c r="K11" i="12"/>
  <c r="I11" i="12"/>
  <c r="G11" i="12"/>
  <c r="J15" i="24"/>
  <c r="K15" i="24"/>
  <c r="I15" i="24"/>
  <c r="G15" i="24"/>
  <c r="H15" i="24"/>
  <c r="G15" i="29"/>
  <c r="I15" i="29"/>
  <c r="H15" i="29"/>
  <c r="J15" i="29"/>
  <c r="K15" i="29"/>
  <c r="C78" i="8"/>
  <c r="O38" i="12"/>
  <c r="N38" i="12"/>
  <c r="C58" i="8"/>
  <c r="C65" i="8" s="1"/>
  <c r="K58" i="8"/>
  <c r="K65" i="8" s="1"/>
  <c r="K67" i="8" s="1"/>
  <c r="J58" i="8"/>
  <c r="J65" i="8" s="1"/>
  <c r="J67" i="8" s="1"/>
  <c r="I58" i="8"/>
  <c r="I65" i="8" s="1"/>
  <c r="I67" i="8" s="1"/>
  <c r="I78" i="8"/>
  <c r="I107" i="8" s="1"/>
  <c r="G78" i="8"/>
  <c r="G107" i="8" s="1"/>
  <c r="I101" i="8"/>
  <c r="I111" i="8" s="1"/>
  <c r="F101" i="8"/>
  <c r="F111" i="8" s="1"/>
  <c r="C91" i="8"/>
  <c r="C109" i="8" s="1"/>
  <c r="J91" i="8"/>
  <c r="J109" i="8" s="1"/>
  <c r="D78" i="8"/>
  <c r="D107" i="8" s="1"/>
  <c r="K78" i="8"/>
  <c r="K107" i="8" s="1"/>
  <c r="J101" i="8"/>
  <c r="J111" i="8" s="1"/>
  <c r="G101" i="8"/>
  <c r="G111" i="8" s="1"/>
  <c r="E101" i="8"/>
  <c r="E111" i="8" s="1"/>
  <c r="E78" i="8"/>
  <c r="E107" i="8" s="1"/>
  <c r="K101" i="8"/>
  <c r="K111" i="8" s="1"/>
  <c r="I91" i="8"/>
  <c r="I109" i="8" s="1"/>
  <c r="F91" i="8"/>
  <c r="F109" i="8" s="1"/>
  <c r="L101" i="8"/>
  <c r="L111" i="8" s="1"/>
  <c r="D101" i="8"/>
  <c r="D111" i="8" s="1"/>
  <c r="K91" i="8"/>
  <c r="K109" i="8" s="1"/>
  <c r="F78" i="8"/>
  <c r="F107" i="8" s="1"/>
  <c r="H91" i="8"/>
  <c r="H109" i="8" s="1"/>
  <c r="E91" i="8"/>
  <c r="E109" i="8" s="1"/>
  <c r="C101" i="8"/>
  <c r="C111" i="8" s="1"/>
  <c r="L78" i="8"/>
  <c r="L107" i="8" s="1"/>
  <c r="H101" i="8"/>
  <c r="H111" i="8" s="1"/>
  <c r="J78" i="8"/>
  <c r="J107" i="8" s="1"/>
  <c r="H78" i="8"/>
  <c r="H107" i="8" s="1"/>
  <c r="G91" i="8"/>
  <c r="G109" i="8" s="1"/>
  <c r="L91" i="8"/>
  <c r="L109" i="8" s="1"/>
  <c r="D91" i="8"/>
  <c r="D109" i="8" s="1"/>
  <c r="H65" i="8"/>
  <c r="H67" i="8" s="1"/>
  <c r="F65" i="8"/>
  <c r="F67" i="8" s="1"/>
  <c r="G65" i="8"/>
  <c r="G67" i="8" s="1"/>
  <c r="E65" i="8"/>
  <c r="E67" i="8" s="1"/>
  <c r="L65" i="8"/>
  <c r="L67" i="8" s="1"/>
  <c r="D65" i="8"/>
  <c r="D67" i="8" s="1"/>
  <c r="D16" i="8"/>
  <c r="D19" i="12" s="1"/>
  <c r="J12" i="8"/>
  <c r="J13" i="8" s="1"/>
  <c r="L25" i="8"/>
  <c r="L20" i="12" s="1"/>
  <c r="K25" i="8"/>
  <c r="K20" i="12" s="1"/>
  <c r="E7" i="8"/>
  <c r="E5" i="12" s="1"/>
  <c r="K16" i="8"/>
  <c r="K19" i="12" s="1"/>
  <c r="H22" i="8"/>
  <c r="D25" i="8"/>
  <c r="D20" i="12" s="1"/>
  <c r="M25" i="8"/>
  <c r="L7" i="8"/>
  <c r="L5" i="12" s="1"/>
  <c r="H12" i="8"/>
  <c r="H13" i="8" s="1"/>
  <c r="I12" i="8"/>
  <c r="I13" i="8" s="1"/>
  <c r="F7" i="8"/>
  <c r="F5" i="12" s="1"/>
  <c r="I16" i="8"/>
  <c r="I19" i="12" s="1"/>
  <c r="H10" i="8"/>
  <c r="J10" i="8"/>
  <c r="K12" i="8"/>
  <c r="K13" i="8" s="1"/>
  <c r="C12" i="8"/>
  <c r="C18" i="8" s="1"/>
  <c r="L12" i="8"/>
  <c r="L13" i="8" s="1"/>
  <c r="L13" i="12" s="1"/>
  <c r="D12" i="8"/>
  <c r="D13" i="8" s="1"/>
  <c r="L22" i="8"/>
  <c r="D22" i="8"/>
  <c r="G25" i="8"/>
  <c r="G20" i="12" s="1"/>
  <c r="K22" i="8"/>
  <c r="F25" i="8"/>
  <c r="F20" i="12" s="1"/>
  <c r="M10" i="8"/>
  <c r="J16" i="8"/>
  <c r="J19" i="12" s="1"/>
  <c r="L16" i="8"/>
  <c r="L19" i="12" s="1"/>
  <c r="C25" i="8"/>
  <c r="C20" i="12" s="1"/>
  <c r="E25" i="8"/>
  <c r="E20" i="12" s="1"/>
  <c r="I7" i="8"/>
  <c r="I5" i="12" s="1"/>
  <c r="K7" i="8"/>
  <c r="K5" i="12" s="1"/>
  <c r="I10" i="8"/>
  <c r="H16" i="8"/>
  <c r="H19" i="12" s="1"/>
  <c r="I22" i="8"/>
  <c r="F16" i="8"/>
  <c r="F19" i="12" s="1"/>
  <c r="C10" i="8"/>
  <c r="E10" i="8"/>
  <c r="C16" i="8"/>
  <c r="C19" i="12" s="1"/>
  <c r="E16" i="8"/>
  <c r="E19" i="12" s="1"/>
  <c r="J25" i="8"/>
  <c r="J20" i="12" s="1"/>
  <c r="J7" i="8"/>
  <c r="J5" i="12" s="1"/>
  <c r="J22" i="8"/>
  <c r="L10" i="8"/>
  <c r="D10" i="8"/>
  <c r="I25" i="8"/>
  <c r="I20" i="12" s="1"/>
  <c r="G16" i="8"/>
  <c r="G19" i="12" s="1"/>
  <c r="K10" i="8"/>
  <c r="M16" i="8"/>
  <c r="M27" i="8"/>
  <c r="M31" i="8" s="1"/>
  <c r="E22" i="8"/>
  <c r="H25" i="8"/>
  <c r="H20" i="12" s="1"/>
  <c r="F10" i="8"/>
  <c r="F22" i="8"/>
  <c r="D7" i="8"/>
  <c r="D5" i="12" s="1"/>
  <c r="G12" i="8"/>
  <c r="C22" i="8"/>
  <c r="M19" i="8"/>
  <c r="G10" i="8"/>
  <c r="G22" i="8"/>
  <c r="M22" i="8"/>
  <c r="H7" i="8"/>
  <c r="H5" i="12" s="1"/>
  <c r="F12" i="8"/>
  <c r="M7" i="8"/>
  <c r="E12" i="8"/>
  <c r="O5" i="12" l="1"/>
  <c r="N5" i="12"/>
  <c r="N20" i="12"/>
  <c r="D13" i="12"/>
  <c r="E6" i="12"/>
  <c r="J6" i="12"/>
  <c r="I13" i="12"/>
  <c r="O20" i="12"/>
  <c r="H13" i="12"/>
  <c r="I6" i="12"/>
  <c r="J13" i="12"/>
  <c r="K6" i="12"/>
  <c r="L6" i="12"/>
  <c r="K13" i="12"/>
  <c r="N11" i="12"/>
  <c r="O11" i="12"/>
  <c r="C107" i="8"/>
  <c r="C40" i="12" s="1"/>
  <c r="C103" i="8"/>
  <c r="K42" i="12"/>
  <c r="K41" i="12"/>
  <c r="K40" i="12"/>
  <c r="D42" i="12"/>
  <c r="D41" i="12"/>
  <c r="D40" i="12"/>
  <c r="L41" i="12"/>
  <c r="L40" i="12"/>
  <c r="L42" i="12"/>
  <c r="F41" i="12"/>
  <c r="F42" i="12"/>
  <c r="F40" i="12"/>
  <c r="J113" i="8"/>
  <c r="J41" i="12"/>
  <c r="J42" i="12"/>
  <c r="J40" i="12"/>
  <c r="G42" i="12"/>
  <c r="G41" i="12"/>
  <c r="G40" i="12"/>
  <c r="I40" i="12"/>
  <c r="I42" i="12"/>
  <c r="I41" i="12"/>
  <c r="C42" i="12"/>
  <c r="E41" i="12"/>
  <c r="E40" i="12"/>
  <c r="E42" i="12"/>
  <c r="H113" i="8"/>
  <c r="H41" i="12"/>
  <c r="H42" i="12"/>
  <c r="H40" i="12"/>
  <c r="C15" i="12"/>
  <c r="C27" i="12"/>
  <c r="C23" i="12"/>
  <c r="O19" i="12"/>
  <c r="N19" i="12"/>
  <c r="C67" i="8"/>
  <c r="F113" i="8"/>
  <c r="G113" i="8"/>
  <c r="K113" i="8"/>
  <c r="I113" i="8"/>
  <c r="L113" i="8"/>
  <c r="D113" i="8"/>
  <c r="E113" i="8"/>
  <c r="I18" i="8"/>
  <c r="J103" i="8"/>
  <c r="L18" i="8"/>
  <c r="H18" i="8"/>
  <c r="I103" i="8"/>
  <c r="D103" i="8"/>
  <c r="G103" i="8"/>
  <c r="K103" i="8"/>
  <c r="F103" i="8"/>
  <c r="H103" i="8"/>
  <c r="L103" i="8"/>
  <c r="E103" i="8"/>
  <c r="J18" i="8"/>
  <c r="D18" i="8"/>
  <c r="D8" i="12" s="1"/>
  <c r="C13" i="8"/>
  <c r="K18" i="8"/>
  <c r="M33" i="8"/>
  <c r="M28" i="8"/>
  <c r="L27" i="8"/>
  <c r="E13" i="8"/>
  <c r="E18" i="8"/>
  <c r="F18" i="8"/>
  <c r="F13" i="8"/>
  <c r="C27" i="8"/>
  <c r="C19" i="8"/>
  <c r="C14" i="12" s="1"/>
  <c r="G13" i="8"/>
  <c r="G18" i="8"/>
  <c r="D7" i="12" l="1"/>
  <c r="I8" i="13" a="1"/>
  <c r="I10" i="13" s="1"/>
  <c r="K39" i="22"/>
  <c r="I19" i="8"/>
  <c r="I14" i="12" s="1"/>
  <c r="I23" i="12"/>
  <c r="I27" i="12"/>
  <c r="I8" i="12"/>
  <c r="I7" i="12"/>
  <c r="I15" i="12"/>
  <c r="I21" i="12" s="1"/>
  <c r="K27" i="8"/>
  <c r="K8" i="12"/>
  <c r="K27" i="12"/>
  <c r="K15" i="12"/>
  <c r="K21" i="12" s="1"/>
  <c r="K23" i="12"/>
  <c r="K7" i="12"/>
  <c r="F13" i="12"/>
  <c r="G6" i="12"/>
  <c r="F8" i="12"/>
  <c r="F15" i="12"/>
  <c r="F21" i="12" s="1"/>
  <c r="F7" i="12"/>
  <c r="F27" i="12"/>
  <c r="F23" i="12"/>
  <c r="D6" i="12"/>
  <c r="O6" i="12" s="1"/>
  <c r="C13" i="12"/>
  <c r="G13" i="12"/>
  <c r="H6" i="12"/>
  <c r="L8" i="12"/>
  <c r="L27" i="12"/>
  <c r="L23" i="12"/>
  <c r="L7" i="12"/>
  <c r="L15" i="12"/>
  <c r="L21" i="12" s="1"/>
  <c r="E8" i="12"/>
  <c r="E27" i="12"/>
  <c r="E23" i="12"/>
  <c r="E7" i="12"/>
  <c r="E15" i="12"/>
  <c r="E21" i="12" s="1"/>
  <c r="D19" i="8"/>
  <c r="D14" i="12" s="1"/>
  <c r="D27" i="12"/>
  <c r="D15" i="12"/>
  <c r="D21" i="12" s="1"/>
  <c r="D23" i="12"/>
  <c r="F6" i="12"/>
  <c r="E13" i="12"/>
  <c r="J27" i="8"/>
  <c r="J7" i="12"/>
  <c r="J15" i="12"/>
  <c r="J21" i="12" s="1"/>
  <c r="J8" i="12"/>
  <c r="J27" i="12"/>
  <c r="J23" i="12"/>
  <c r="G15" i="12"/>
  <c r="G21" i="12" s="1"/>
  <c r="G23" i="12"/>
  <c r="G8" i="12"/>
  <c r="G27" i="12"/>
  <c r="G7" i="12"/>
  <c r="L19" i="8"/>
  <c r="L14" i="12" s="1"/>
  <c r="H27" i="8"/>
  <c r="H31" i="8" s="1"/>
  <c r="H15" i="12"/>
  <c r="H21" i="12" s="1"/>
  <c r="H23" i="12"/>
  <c r="H27" i="12"/>
  <c r="H7" i="12"/>
  <c r="H8" i="12"/>
  <c r="C41" i="12"/>
  <c r="O41" i="12" s="1"/>
  <c r="N42" i="12"/>
  <c r="N40" i="12"/>
  <c r="O42" i="12"/>
  <c r="O40" i="12"/>
  <c r="C21" i="12"/>
  <c r="I27" i="8"/>
  <c r="I33" i="8" s="1"/>
  <c r="H19" i="8"/>
  <c r="H14" i="12" s="1"/>
  <c r="D27" i="8"/>
  <c r="D28" i="8" s="1"/>
  <c r="D16" i="12" s="1"/>
  <c r="J19" i="8"/>
  <c r="J14" i="12" s="1"/>
  <c r="K19" i="8"/>
  <c r="K14" i="12" s="1"/>
  <c r="M34" i="8"/>
  <c r="M38" i="8"/>
  <c r="F27" i="8"/>
  <c r="F19" i="8"/>
  <c r="F14" i="12" s="1"/>
  <c r="K33" i="8"/>
  <c r="K28" i="8"/>
  <c r="K16" i="12" s="1"/>
  <c r="K31" i="8"/>
  <c r="G19" i="8"/>
  <c r="G14" i="12" s="1"/>
  <c r="G27" i="8"/>
  <c r="J33" i="8"/>
  <c r="J28" i="8"/>
  <c r="J16" i="12" s="1"/>
  <c r="J31" i="8"/>
  <c r="E27" i="8"/>
  <c r="E19" i="8"/>
  <c r="E14" i="12" s="1"/>
  <c r="C33" i="8"/>
  <c r="C28" i="8"/>
  <c r="C16" i="12" s="1"/>
  <c r="L33" i="8"/>
  <c r="L28" i="8"/>
  <c r="L16" i="12" s="1"/>
  <c r="L31" i="8"/>
  <c r="I12" i="13" l="1"/>
  <c r="I15" i="13"/>
  <c r="I9" i="13"/>
  <c r="I16" i="13"/>
  <c r="I14" i="13"/>
  <c r="I11" i="13"/>
  <c r="I21" i="13" s="1"/>
  <c r="I13" i="13"/>
  <c r="I18" i="13" s="1"/>
  <c r="J18" i="13" s="1"/>
  <c r="I17" i="13"/>
  <c r="J17" i="13" s="1"/>
  <c r="I8" i="13"/>
  <c r="D33" i="8"/>
  <c r="D25" i="12" s="1"/>
  <c r="O14" i="12"/>
  <c r="E9" i="12"/>
  <c r="N7" i="12"/>
  <c r="N8" i="12"/>
  <c r="G9" i="12"/>
  <c r="N27" i="12"/>
  <c r="O23" i="12"/>
  <c r="J9" i="13"/>
  <c r="N23" i="12"/>
  <c r="K10" i="12"/>
  <c r="K25" i="12"/>
  <c r="O8" i="12"/>
  <c r="I25" i="12"/>
  <c r="F9" i="12"/>
  <c r="H28" i="8"/>
  <c r="H16" i="12" s="1"/>
  <c r="L10" i="12"/>
  <c r="L25" i="12"/>
  <c r="J10" i="12"/>
  <c r="J25" i="12"/>
  <c r="H33" i="8"/>
  <c r="O7" i="12"/>
  <c r="I39" i="22"/>
  <c r="J9" i="12"/>
  <c r="D9" i="12"/>
  <c r="N14" i="12"/>
  <c r="O27" i="12"/>
  <c r="J39" i="22"/>
  <c r="K9" i="12"/>
  <c r="H39" i="22"/>
  <c r="I9" i="12"/>
  <c r="I28" i="8"/>
  <c r="I16" i="12" s="1"/>
  <c r="O15" i="12"/>
  <c r="N6" i="12"/>
  <c r="L9" i="12"/>
  <c r="G39" i="22"/>
  <c r="H9" i="12"/>
  <c r="I31" i="8"/>
  <c r="N15" i="12"/>
  <c r="O13" i="12"/>
  <c r="N13" i="12"/>
  <c r="K49" i="22"/>
  <c r="K51" i="22" s="1"/>
  <c r="K55" i="22" s="1"/>
  <c r="F12" i="29" s="1"/>
  <c r="K41" i="22"/>
  <c r="K63" i="22" s="1"/>
  <c r="J16" i="13"/>
  <c r="J15" i="13"/>
  <c r="N41" i="12"/>
  <c r="C25" i="12"/>
  <c r="D10" i="12"/>
  <c r="I20" i="13"/>
  <c r="J10" i="13"/>
  <c r="O21" i="12"/>
  <c r="N21" i="12"/>
  <c r="D31" i="8"/>
  <c r="M45" i="8"/>
  <c r="M42" i="8"/>
  <c r="M44" i="8" s="1"/>
  <c r="C34" i="8"/>
  <c r="C17" i="12" s="1"/>
  <c r="C38" i="8"/>
  <c r="D34" i="8"/>
  <c r="D17" i="12" s="1"/>
  <c r="D38" i="8"/>
  <c r="I34" i="8"/>
  <c r="I17" i="12" s="1"/>
  <c r="I38" i="8"/>
  <c r="L34" i="8"/>
  <c r="L17" i="12" s="1"/>
  <c r="L38" i="8"/>
  <c r="M39" i="8" s="1"/>
  <c r="J34" i="8"/>
  <c r="J17" i="12" s="1"/>
  <c r="J38" i="8"/>
  <c r="K34" i="8"/>
  <c r="K17" i="12" s="1"/>
  <c r="K38" i="8"/>
  <c r="H34" i="8"/>
  <c r="H17" i="12" s="1"/>
  <c r="H38" i="8"/>
  <c r="F33" i="8"/>
  <c r="I27" i="13" s="1" a="1"/>
  <c r="F28" i="8"/>
  <c r="F16" i="12" s="1"/>
  <c r="F31" i="8"/>
  <c r="E28" i="8"/>
  <c r="E16" i="12" s="1"/>
  <c r="E33" i="8"/>
  <c r="E31" i="8"/>
  <c r="G33" i="8"/>
  <c r="G28" i="8"/>
  <c r="G16" i="12" s="1"/>
  <c r="G31" i="8"/>
  <c r="J12" i="13" l="1"/>
  <c r="J14" i="13"/>
  <c r="J13" i="13"/>
  <c r="I22" i="13"/>
  <c r="I19" i="13"/>
  <c r="J11" i="13"/>
  <c r="O16" i="12"/>
  <c r="J20" i="13"/>
  <c r="O9" i="12"/>
  <c r="N9" i="12"/>
  <c r="I49" i="22"/>
  <c r="I51" i="22" s="1"/>
  <c r="I55" i="22" s="1"/>
  <c r="I62" i="22" s="1"/>
  <c r="I41" i="22"/>
  <c r="I63" i="22" s="1"/>
  <c r="G25" i="12"/>
  <c r="G10" i="12"/>
  <c r="H49" i="22"/>
  <c r="H51" i="22" s="1"/>
  <c r="H55" i="22" s="1"/>
  <c r="H41" i="22"/>
  <c r="H63" i="22" s="1"/>
  <c r="E10" i="12"/>
  <c r="O10" i="12" s="1"/>
  <c r="E25" i="12"/>
  <c r="N16" i="12"/>
  <c r="H25" i="12"/>
  <c r="H10" i="12"/>
  <c r="I10" i="12"/>
  <c r="J19" i="13"/>
  <c r="G49" i="22"/>
  <c r="G51" i="22" s="1"/>
  <c r="G41" i="22"/>
  <c r="J49" i="22"/>
  <c r="J51" i="22" s="1"/>
  <c r="J55" i="22" s="1"/>
  <c r="J62" i="22" s="1"/>
  <c r="J65" i="22" s="1"/>
  <c r="J41" i="22"/>
  <c r="J63" i="22" s="1"/>
  <c r="F25" i="12"/>
  <c r="F10" i="12"/>
  <c r="F12" i="24"/>
  <c r="F13" i="24" s="1"/>
  <c r="K62" i="22"/>
  <c r="K65" i="22" s="1"/>
  <c r="D39" i="8"/>
  <c r="J22" i="13"/>
  <c r="J21" i="13"/>
  <c r="I27" i="13"/>
  <c r="I35" i="13"/>
  <c r="I28" i="13"/>
  <c r="I34" i="13"/>
  <c r="I33" i="13"/>
  <c r="I32" i="13"/>
  <c r="I31" i="13"/>
  <c r="I36" i="13"/>
  <c r="I30" i="13"/>
  <c r="I29" i="13"/>
  <c r="H42" i="8"/>
  <c r="H44" i="8" s="1"/>
  <c r="H24" i="12" s="1"/>
  <c r="I39" i="8"/>
  <c r="I42" i="8"/>
  <c r="I44" i="8" s="1"/>
  <c r="I24" i="12" s="1"/>
  <c r="I26" i="12" s="1"/>
  <c r="K39" i="8"/>
  <c r="K42" i="8"/>
  <c r="K44" i="8" s="1"/>
  <c r="K24" i="12" s="1"/>
  <c r="K26" i="12" s="1"/>
  <c r="D42" i="8"/>
  <c r="D44" i="8" s="1"/>
  <c r="D24" i="12" s="1"/>
  <c r="D26" i="12" s="1"/>
  <c r="J39" i="8"/>
  <c r="J42" i="8"/>
  <c r="J44" i="8" s="1"/>
  <c r="J24" i="12" s="1"/>
  <c r="J26" i="12" s="1"/>
  <c r="C42" i="8"/>
  <c r="C44" i="8" s="1"/>
  <c r="C24" i="12" s="1"/>
  <c r="L39" i="8"/>
  <c r="L42" i="8"/>
  <c r="L44" i="8" s="1"/>
  <c r="L24" i="12" s="1"/>
  <c r="L26" i="12" s="1"/>
  <c r="F34" i="8"/>
  <c r="F17" i="12" s="1"/>
  <c r="F38" i="8"/>
  <c r="G34" i="8"/>
  <c r="G17" i="12" s="1"/>
  <c r="G38" i="8"/>
  <c r="H39" i="8" s="1"/>
  <c r="E34" i="8"/>
  <c r="E17" i="12" s="1"/>
  <c r="E38" i="8"/>
  <c r="N10" i="12" l="1"/>
  <c r="O17" i="12"/>
  <c r="O25" i="12"/>
  <c r="N17" i="12"/>
  <c r="N8" i="13" a="1"/>
  <c r="N13" i="13" s="1"/>
  <c r="H62" i="22"/>
  <c r="H65" i="22" s="1"/>
  <c r="K57" i="22"/>
  <c r="K58" i="22"/>
  <c r="N25" i="12"/>
  <c r="I65" i="22"/>
  <c r="H26" i="12"/>
  <c r="F13" i="29"/>
  <c r="J29" i="13"/>
  <c r="J30" i="13"/>
  <c r="J36" i="13"/>
  <c r="J31" i="13"/>
  <c r="J33" i="13"/>
  <c r="J34" i="13"/>
  <c r="C26" i="12"/>
  <c r="J28" i="13"/>
  <c r="I41" i="13"/>
  <c r="I40" i="13"/>
  <c r="I39" i="13"/>
  <c r="I38" i="13"/>
  <c r="I37" i="13"/>
  <c r="J37" i="13" s="1"/>
  <c r="J32" i="13"/>
  <c r="J35" i="13"/>
  <c r="D45" i="8"/>
  <c r="L45" i="8"/>
  <c r="H45" i="8"/>
  <c r="C45" i="8"/>
  <c r="E39" i="8"/>
  <c r="E42" i="8"/>
  <c r="E44" i="8" s="1"/>
  <c r="E24" i="12" s="1"/>
  <c r="E26" i="12" s="1"/>
  <c r="G39" i="8"/>
  <c r="G42" i="8"/>
  <c r="G44" i="8" s="1"/>
  <c r="G24" i="12" s="1"/>
  <c r="G26" i="12" s="1"/>
  <c r="K45" i="8"/>
  <c r="F39" i="8"/>
  <c r="F42" i="8"/>
  <c r="F44" i="8" s="1"/>
  <c r="F24" i="12" s="1"/>
  <c r="F26" i="12" s="1"/>
  <c r="J45" i="8"/>
  <c r="I45" i="8"/>
  <c r="N8" i="13" l="1"/>
  <c r="N17" i="13"/>
  <c r="N11" i="13"/>
  <c r="N12" i="13"/>
  <c r="O13" i="13" s="1"/>
  <c r="N14" i="13"/>
  <c r="O14" i="13" s="1"/>
  <c r="N16" i="13"/>
  <c r="N9" i="13"/>
  <c r="O24" i="12"/>
  <c r="K12" i="29"/>
  <c r="K12" i="24"/>
  <c r="G12" i="24" s="1"/>
  <c r="H12" i="24" s="1"/>
  <c r="I12" i="24" s="1"/>
  <c r="J12" i="24" s="1"/>
  <c r="N10" i="13"/>
  <c r="O11" i="13" s="1"/>
  <c r="N15" i="13"/>
  <c r="K68" i="22"/>
  <c r="K67" i="22"/>
  <c r="N24" i="12"/>
  <c r="J39" i="13"/>
  <c r="J40" i="13"/>
  <c r="J41" i="13"/>
  <c r="J38" i="13"/>
  <c r="N26" i="12"/>
  <c r="O26" i="12"/>
  <c r="E45" i="8"/>
  <c r="F45" i="8"/>
  <c r="G45" i="8"/>
  <c r="O15" i="13" l="1"/>
  <c r="O16" i="13"/>
  <c r="G12" i="29"/>
  <c r="H12" i="29" s="1"/>
  <c r="I12" i="29" s="1"/>
  <c r="J12" i="29" s="1"/>
  <c r="O9" i="13"/>
  <c r="O12" i="13"/>
  <c r="O10" i="13"/>
  <c r="O17" i="13"/>
  <c r="N21" i="13"/>
  <c r="N19" i="13"/>
  <c r="N22" i="13"/>
  <c r="N20" i="13"/>
  <c r="N18" i="13"/>
  <c r="O18" i="13" s="1"/>
  <c r="E19" i="29"/>
  <c r="G9" i="29" s="1"/>
  <c r="E19" i="24"/>
  <c r="G9" i="24" s="1"/>
  <c r="O22" i="13" l="1"/>
  <c r="O19" i="13"/>
  <c r="O20" i="13"/>
  <c r="O21" i="13"/>
  <c r="G11" i="24"/>
  <c r="G13" i="24" s="1"/>
  <c r="G17" i="24" s="1"/>
  <c r="H9" i="24"/>
  <c r="H9" i="29"/>
  <c r="G11" i="29"/>
  <c r="G13" i="29" s="1"/>
  <c r="G17" i="29" s="1"/>
  <c r="I9" i="29" l="1"/>
  <c r="H11" i="29"/>
  <c r="H13" i="29" s="1"/>
  <c r="H17" i="29" s="1"/>
  <c r="H11" i="24"/>
  <c r="H13" i="24" s="1"/>
  <c r="H17" i="24" s="1"/>
  <c r="I9" i="24"/>
  <c r="I11" i="24" l="1"/>
  <c r="I13" i="24" s="1"/>
  <c r="I17" i="24" s="1"/>
  <c r="J9" i="24"/>
  <c r="J9" i="29"/>
  <c r="I11" i="29"/>
  <c r="I13" i="29" s="1"/>
  <c r="I17" i="29" s="1"/>
  <c r="K9" i="24" l="1"/>
  <c r="K11" i="24" s="1"/>
  <c r="K13" i="24" s="1"/>
  <c r="J11" i="24"/>
  <c r="J13" i="24" s="1"/>
  <c r="J17" i="24" s="1"/>
  <c r="K9" i="29"/>
  <c r="K11" i="29" s="1"/>
  <c r="K13" i="29" s="1"/>
  <c r="J11" i="29"/>
  <c r="J13" i="29" s="1"/>
  <c r="J17" i="29" s="1"/>
  <c r="E25" i="29" l="1"/>
  <c r="E29" i="29" s="1"/>
  <c r="E34" i="29" s="1"/>
  <c r="K17" i="29"/>
  <c r="E33" i="29" s="1"/>
  <c r="E25" i="24"/>
  <c r="E29" i="24" s="1"/>
  <c r="E34" i="24" s="1"/>
  <c r="K17" i="24"/>
  <c r="E33" i="24" s="1"/>
  <c r="E35" i="24" l="1"/>
  <c r="M9" i="24" s="1"/>
  <c r="E35" i="29"/>
  <c r="E39" i="29" s="1"/>
  <c r="E42" i="29" l="1"/>
  <c r="E47" i="29" s="1"/>
  <c r="E39" i="24"/>
  <c r="E42" i="24" s="1"/>
  <c r="E45" i="24" s="1"/>
  <c r="G33" i="29"/>
  <c r="E45" i="2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<sst xmlns="http://schemas.openxmlformats.org/spreadsheetml/2006/main" count="789" uniqueCount="416">
  <si>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</si>
  <si>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</si>
  <si>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</si>
  <si>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</si>
  <si>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</si>
  <si>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</si>
  <si>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</si>
  <si>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</si>
  <si>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</si>
  <si>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</si>
  <si>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Sales Growth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</si>
  <si>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</si>
  <si>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</si>
  <si>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</si>
  <si>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</si>
  <si>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</si>
  <si>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</si>
  <si>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</si>
  <si>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</si>
  <si>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</si>
  <si>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</si>
  <si>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</si>
  <si>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</si>
  <si>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</si>
  <si>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</si>
  <si>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</si>
  <si>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</si>
  <si>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</si>
  <si>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</si>
  <si>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</si>
  <si>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</si>
  <si>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LATEST VERSION</t>
  </si>
  <si>
    <t>CURRENT VERSION</t>
  </si>
  <si>
    <t>ASIAN PAINTS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</si>
  <si>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</si>
  <si>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</si>
  <si>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</si>
  <si>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</si>
  <si>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</si>
  <si>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</si>
  <si>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</si>
  <si>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</si>
  <si>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</si>
  <si>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</si>
  <si>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</si>
  <si>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</si>
  <si>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</si>
  <si>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</si>
  <si>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</si>
  <si>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</si>
  <si>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</si>
  <si>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</si>
  <si>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</si>
  <si>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</si>
  <si>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</si>
  <si>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</si>
  <si>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LTM</t>
  </si>
  <si>
    <t xml:space="preserve">Income Statement </t>
  </si>
  <si>
    <t>#</t>
  </si>
  <si>
    <t>COGS</t>
  </si>
  <si>
    <t>COGS % Sales</t>
  </si>
  <si>
    <t>Gross Profit</t>
  </si>
  <si>
    <t xml:space="preserve">Gross Margin </t>
  </si>
  <si>
    <t>Selling &amp; General Expenses</t>
  </si>
  <si>
    <t>S&amp;G % Sales</t>
  </si>
  <si>
    <t>EBITDA</t>
  </si>
  <si>
    <t>EBIDTA Margin</t>
  </si>
  <si>
    <t>Interest % Sales</t>
  </si>
  <si>
    <t>Depreciation % Sales</t>
  </si>
  <si>
    <t>EBT % Sales</t>
  </si>
  <si>
    <t>Effective Tax Rate</t>
  </si>
  <si>
    <t>Net Profit</t>
  </si>
  <si>
    <t>Net Profit Margin</t>
  </si>
  <si>
    <t>Earning per Shares</t>
  </si>
  <si>
    <t>EPS Growth %</t>
  </si>
  <si>
    <t>Dividend per Share</t>
  </si>
  <si>
    <t>Dividend pay out Ratio</t>
  </si>
  <si>
    <t xml:space="preserve">Retained Earning </t>
  </si>
  <si>
    <t>Balance Sheet</t>
  </si>
  <si>
    <t>Total Liabilities</t>
  </si>
  <si>
    <t>Fixed Assets Net Block</t>
  </si>
  <si>
    <t>Total Non Current Assets</t>
  </si>
  <si>
    <t xml:space="preserve">Total Current Asset </t>
  </si>
  <si>
    <t>Total Assets</t>
  </si>
  <si>
    <t>Check</t>
  </si>
  <si>
    <t>Profit from operations</t>
  </si>
  <si>
    <t>Payables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</si>
  <si>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</si>
  <si>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</si>
  <si>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</si>
  <si>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</si>
  <si>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</si>
  <si>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</si>
  <si>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</si>
  <si>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</si>
  <si>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</si>
  <si>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</si>
  <si>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</si>
  <si>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</si>
  <si>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</si>
  <si>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</si>
  <si>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</si>
  <si>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</si>
  <si>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</si>
  <si>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</si>
  <si>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</si>
  <si>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</si>
  <si>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 xml:space="preserve">Net Cash Flow </t>
  </si>
  <si>
    <t>Investing Activities</t>
  </si>
  <si>
    <t>Financing Activities</t>
  </si>
  <si>
    <t>Cash From Operating Acticities</t>
  </si>
  <si>
    <t>Cash From Investing Activities</t>
  </si>
  <si>
    <t>Cash From Financing Activities</t>
  </si>
  <si>
    <t xml:space="preserve"> Cash Flow Statement</t>
  </si>
  <si>
    <t>Cash from Operating Activities</t>
  </si>
  <si>
    <t>Operating Activities</t>
  </si>
  <si>
    <t>Cash from Financing Activities</t>
  </si>
  <si>
    <t>Short  Cash Flow Statement</t>
  </si>
  <si>
    <t>Earning Before Tax</t>
  </si>
  <si>
    <t>SalesGrowth</t>
  </si>
  <si>
    <t>Gross Margin</t>
  </si>
  <si>
    <t>EBITDA Growth</t>
  </si>
  <si>
    <t>EBIT Growth</t>
  </si>
  <si>
    <t>Net Profit Growth</t>
  </si>
  <si>
    <t>Dividend Growth</t>
  </si>
  <si>
    <t>EBIT Margin</t>
  </si>
  <si>
    <t>EBT Margin</t>
  </si>
  <si>
    <t>EBITDA Margin</t>
  </si>
  <si>
    <t>Sales Expense % Sales</t>
  </si>
  <si>
    <t>Operating Income % Sales</t>
  </si>
  <si>
    <t xml:space="preserve">Return On Capital Employed </t>
  </si>
  <si>
    <t>Retained Earning %</t>
  </si>
  <si>
    <t>Return On Equity</t>
  </si>
  <si>
    <t>Self Sustained Growth Rate</t>
  </si>
  <si>
    <t>Interest Coverage Ratio</t>
  </si>
  <si>
    <t>Debtor Turnover Ratio</t>
  </si>
  <si>
    <t>Creditor Turnover Ratio</t>
  </si>
  <si>
    <t>Inventory Turnover</t>
  </si>
  <si>
    <t>Fixed Asset Turnover</t>
  </si>
  <si>
    <t>Capital Turnover Ratio</t>
  </si>
  <si>
    <t xml:space="preserve">Debtors Days </t>
  </si>
  <si>
    <t>Payable Days</t>
  </si>
  <si>
    <t>Inventory Days</t>
  </si>
  <si>
    <t>CFO/Sales</t>
  </si>
  <si>
    <t>CFO/Total Debt</t>
  </si>
  <si>
    <t>CFO/total Assets</t>
  </si>
  <si>
    <t>Cash Conversion Cycle (In days)</t>
  </si>
  <si>
    <t xml:space="preserve">Mean </t>
  </si>
  <si>
    <t>Medin</t>
  </si>
  <si>
    <t>Trend</t>
  </si>
  <si>
    <t>EBI Growth</t>
  </si>
  <si>
    <t>Year Weight</t>
  </si>
  <si>
    <t>Year</t>
  </si>
  <si>
    <t>EPS</t>
  </si>
  <si>
    <t>EPS Growth</t>
  </si>
  <si>
    <t>EBIDTA</t>
  </si>
  <si>
    <t>Particular</t>
  </si>
  <si>
    <t>Total Laibilities</t>
  </si>
  <si>
    <t>Regression Beta</t>
  </si>
  <si>
    <t>NIFTY Returns</t>
  </si>
  <si>
    <t xml:space="preserve">Beta Drifting </t>
  </si>
  <si>
    <t>Date</t>
  </si>
  <si>
    <t xml:space="preserve">Closing Price </t>
  </si>
  <si>
    <t>Return</t>
  </si>
  <si>
    <t>Levered Raw Beta</t>
  </si>
  <si>
    <t>Raw Beta Weight</t>
  </si>
  <si>
    <t xml:space="preserve">Market Beta </t>
  </si>
  <si>
    <t xml:space="preserve">Market Beta Weight </t>
  </si>
  <si>
    <t xml:space="preserve">Adjusted Beta 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</si>
  <si>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</si>
  <si>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</si>
  <si>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</si>
  <si>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</si>
  <si>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</si>
  <si>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</si>
  <si>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</si>
  <si>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</si>
  <si>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</si>
  <si>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</si>
  <si>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</si>
  <si>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</si>
  <si>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</si>
  <si>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</si>
  <si>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</si>
  <si>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</si>
  <si>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</si>
  <si>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</si>
  <si>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</si>
  <si>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</si>
  <si>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</si>
  <si>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</si>
  <si>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</si>
  <si>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</si>
  <si>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Return on Markets</t>
  </si>
  <si>
    <t>Annual</t>
  </si>
  <si>
    <t>Average Return</t>
  </si>
  <si>
    <t xml:space="preserve">Divedend Yield </t>
  </si>
  <si>
    <r>
      <t xml:space="preserve">1.28% </t>
    </r>
    <r>
      <rPr>
        <vertAlign val="superscript"/>
        <sz val="11"/>
        <color theme="1"/>
        <rFont val="Calibri"/>
        <family val="2"/>
        <scheme val="minor"/>
      </rPr>
      <t>1</t>
    </r>
  </si>
  <si>
    <t>Wieghhted Average Cost of Capitall</t>
  </si>
  <si>
    <t>All Figures are in unless stated otherwise</t>
  </si>
  <si>
    <t>Peers Comps</t>
  </si>
  <si>
    <t xml:space="preserve">Debt / </t>
  </si>
  <si>
    <t>Debt /</t>
  </si>
  <si>
    <t>Levered</t>
  </si>
  <si>
    <t>Unleverd</t>
  </si>
  <si>
    <t>Name OF the Com</t>
  </si>
  <si>
    <t>Country</t>
  </si>
  <si>
    <t xml:space="preserve">Total Debt </t>
  </si>
  <si>
    <t xml:space="preserve">Total Equity </t>
  </si>
  <si>
    <r>
      <t xml:space="preserve">Tax Rate </t>
    </r>
    <r>
      <rPr>
        <vertAlign val="superscript"/>
        <sz val="11"/>
        <color theme="1"/>
        <rFont val="Calibri"/>
        <family val="2"/>
        <scheme val="minor"/>
      </rPr>
      <t>1</t>
    </r>
  </si>
  <si>
    <t>Equity</t>
  </si>
  <si>
    <t>Capital</t>
  </si>
  <si>
    <r>
      <t xml:space="preserve">Beta </t>
    </r>
    <r>
      <rPr>
        <vertAlign val="superscript"/>
        <sz val="11"/>
        <color theme="1"/>
        <rFont val="Calibri"/>
        <family val="2"/>
        <scheme val="minor"/>
      </rPr>
      <t>2</t>
    </r>
  </si>
  <si>
    <r>
      <t xml:space="preserve">Beta </t>
    </r>
    <r>
      <rPr>
        <vertAlign val="superscript"/>
        <sz val="11"/>
        <color theme="1"/>
        <rFont val="Calibri"/>
        <family val="2"/>
        <scheme val="minor"/>
      </rPr>
      <t>3</t>
    </r>
  </si>
  <si>
    <t xml:space="preserve">Asian Paints </t>
  </si>
  <si>
    <t>India</t>
  </si>
  <si>
    <t xml:space="preserve">Berger Paints </t>
  </si>
  <si>
    <t>Average</t>
  </si>
  <si>
    <t>Median</t>
  </si>
  <si>
    <t>Cost of DEBT</t>
  </si>
  <si>
    <t>Cost of Equity</t>
  </si>
  <si>
    <t xml:space="preserve">Pre-Tax Cost of Debt </t>
  </si>
  <si>
    <t>Risk Free Rate</t>
  </si>
  <si>
    <t>Tax Rate</t>
  </si>
  <si>
    <t>Equity Risk Premium</t>
  </si>
  <si>
    <t>Post Tax Cost of Debt</t>
  </si>
  <si>
    <r>
      <t>Levered Beta</t>
    </r>
    <r>
      <rPr>
        <vertAlign val="superscript"/>
        <sz val="11"/>
        <color theme="1"/>
        <rFont val="Calibri"/>
        <family val="2"/>
        <scheme val="minor"/>
      </rPr>
      <t xml:space="preserve"> 4</t>
    </r>
  </si>
  <si>
    <t>Capital Structure</t>
  </si>
  <si>
    <t xml:space="preserve">Levered Beta </t>
  </si>
  <si>
    <t>Current</t>
  </si>
  <si>
    <t>Target</t>
  </si>
  <si>
    <t xml:space="preserve">Comps Median Unlevered Beta </t>
  </si>
  <si>
    <t xml:space="preserve">Target Debt / Equity </t>
  </si>
  <si>
    <t xml:space="preserve">Market Capitalization </t>
  </si>
  <si>
    <t>Total Capital</t>
  </si>
  <si>
    <t>Debt / Equity</t>
  </si>
  <si>
    <t>Weight Average Cost of Capital</t>
  </si>
  <si>
    <t>Notes:</t>
  </si>
  <si>
    <t xml:space="preserve">Cost of Equity </t>
  </si>
  <si>
    <t>1. Tax Rate considered as Marginal Tax Rate for the country</t>
  </si>
  <si>
    <t xml:space="preserve">Equity Weight </t>
  </si>
  <si>
    <t>2. Levered beta is based on 5 year monthly data</t>
  </si>
  <si>
    <t>3. Unlevered Beta = Levered Beta/(1+(1-tax rate)*Debt/Equity)</t>
  </si>
  <si>
    <t>Cost of Debt</t>
  </si>
  <si>
    <t>4. Levered Beta = Unlevered Beta *(1+(1-Tax Rate)*Debt/Equity)</t>
  </si>
  <si>
    <t>Debt Weight</t>
  </si>
  <si>
    <t>WACC</t>
  </si>
  <si>
    <t xml:space="preserve">Equity Capital </t>
  </si>
  <si>
    <t xml:space="preserve">Reserves </t>
  </si>
  <si>
    <t>Long term Borrowings</t>
  </si>
  <si>
    <t>Short term Borrowings</t>
  </si>
  <si>
    <t>Lease Liabilities</t>
  </si>
  <si>
    <t>Other Borrowings</t>
  </si>
  <si>
    <t>Non controlling int</t>
  </si>
  <si>
    <t>Trade Payables</t>
  </si>
  <si>
    <t>Advance from Customers</t>
  </si>
  <si>
    <t>Other liability items</t>
  </si>
  <si>
    <t xml:space="preserve">Total Liabilities </t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</si>
  <si>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</si>
  <si>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</si>
  <si>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</si>
  <si>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</si>
  <si>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</si>
  <si>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</si>
  <si>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</si>
  <si>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</si>
  <si>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</si>
  <si>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</si>
  <si>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 xml:space="preserve">CWIP </t>
  </si>
  <si>
    <t xml:space="preserve">Investments </t>
  </si>
  <si>
    <t>Inventories</t>
  </si>
  <si>
    <t>Cash Equivalents</t>
  </si>
  <si>
    <t>Loans n Advances</t>
  </si>
  <si>
    <t>Other asset items</t>
  </si>
  <si>
    <t xml:space="preserve">Total Assets </t>
  </si>
  <si>
    <t>Borrowings -</t>
  </si>
  <si>
    <t>Other Liabilities -</t>
  </si>
  <si>
    <t>Fixed Assets -</t>
  </si>
  <si>
    <t>Other Assets -</t>
  </si>
  <si>
    <t>Trade Reveivable</t>
  </si>
  <si>
    <t>Calculation of ROIC</t>
  </si>
  <si>
    <t>Current Assets</t>
  </si>
  <si>
    <t>Total Current Assets</t>
  </si>
  <si>
    <t>Current Liabilities</t>
  </si>
  <si>
    <t xml:space="preserve">Total Current Liabilities </t>
  </si>
  <si>
    <t>Net Working Capital</t>
  </si>
  <si>
    <t>Non Current Assets</t>
  </si>
  <si>
    <t>Net Non Current Assets</t>
  </si>
  <si>
    <t>Invested Capital</t>
  </si>
  <si>
    <t>EBIT</t>
  </si>
  <si>
    <t>ROIC</t>
  </si>
  <si>
    <t>Calculation of Reinvestment Rate</t>
  </si>
  <si>
    <t>Net Capex</t>
  </si>
  <si>
    <t>Net Operating Acticities</t>
  </si>
  <si>
    <t xml:space="preserve"> Net Investing Activities</t>
  </si>
  <si>
    <t>Net Financing Activities</t>
  </si>
  <si>
    <t>Change in Working capital</t>
  </si>
  <si>
    <t>Marginal Tax Rate</t>
  </si>
  <si>
    <t>Reinvestment</t>
  </si>
  <si>
    <t xml:space="preserve">Reinvestment Rate </t>
  </si>
  <si>
    <t>EBIT(1-TAX)</t>
  </si>
  <si>
    <t>4 Year Average</t>
  </si>
  <si>
    <t xml:space="preserve">4 Year Median </t>
  </si>
  <si>
    <t>Calculation of Growth Rate</t>
  </si>
  <si>
    <t>Intrinsic Growth</t>
  </si>
  <si>
    <t>Calculation of PV of FCFF</t>
  </si>
  <si>
    <t>EBIT(1-T)</t>
  </si>
  <si>
    <t xml:space="preserve">Less: Reinvestment </t>
  </si>
  <si>
    <t>Free Cash Flow to Firm</t>
  </si>
  <si>
    <t xml:space="preserve">Expected Growth </t>
  </si>
  <si>
    <t>Mid Convertion</t>
  </si>
  <si>
    <t>Discounting Factor</t>
  </si>
  <si>
    <t>PV of FCFF</t>
  </si>
  <si>
    <t>FCFF (n+1)</t>
  </si>
  <si>
    <t xml:space="preserve">Terminal Growth Rate </t>
  </si>
  <si>
    <t>Terminal Value</t>
  </si>
  <si>
    <t>Calculation of Terminal Value</t>
  </si>
  <si>
    <t>Calculation of Equity Value</t>
  </si>
  <si>
    <t>Value of Operating Assets</t>
  </si>
  <si>
    <t>Add: Cash</t>
  </si>
  <si>
    <t>Less: Debt</t>
  </si>
  <si>
    <t xml:space="preserve">Value of Equity   </t>
  </si>
  <si>
    <t xml:space="preserve">No of Share </t>
  </si>
  <si>
    <t>Equity Value per Share</t>
  </si>
  <si>
    <t>Share Price</t>
  </si>
  <si>
    <t>Discount/Premium</t>
  </si>
  <si>
    <t>Terminal Growth</t>
  </si>
  <si>
    <t>https://finance.yahoo.com/quote/BERGEPAINT.BO/history/?frequency=1wk&amp;period1=1711065600&amp;period2=1774137600</t>
  </si>
  <si>
    <t>https://finance.yahoo.com/quote/066575.KS/history/?frequency=1wk&amp;period1=1711065600&amp;period2=1774137600</t>
  </si>
  <si>
    <t>https://finance.yahoo.com/quote/HAVELLS.BO/history/?period1=1711065600&amp;period2=1774137600&amp;frequency=1wk</t>
  </si>
  <si>
    <t>https://finance.yahoo.com/quote/DIXON.NS/history/?period1=1711065600&amp;period2=1774137600&amp;frequency=1wk</t>
  </si>
  <si>
    <t>https://finance.yahoo.com/quote/%5EDJI/history/?frequency=1wk&amp;period1=1711065600&amp;period2=1774137600</t>
  </si>
  <si>
    <t>https://finance.yahoo.com/quote/ASIANPAINT.BO/history/?period1=1711065600&amp;period2=1774137600&amp;frequency=1wk</t>
  </si>
  <si>
    <t>Asian Paints Limited</t>
  </si>
  <si>
    <t>Sensitivity Analysis</t>
  </si>
  <si>
    <t>Kansai Nerolac</t>
  </si>
  <si>
    <t>Indigo Paints</t>
  </si>
  <si>
    <t>Asian Paints Ltd Monthly Return</t>
  </si>
  <si>
    <t>Asian Paints Ltd Month+L9:V27ly Return</t>
  </si>
  <si>
    <t>Berger Paints India Ltd Monthly Return</t>
  </si>
  <si>
    <t>Kansai Nerolac PaintsLtd Monthly Return</t>
  </si>
  <si>
    <t xml:space="preserve">Akzo Nobel India Ltd Monthly Return </t>
  </si>
  <si>
    <t>Indigo Paints Ltd Monthly Return</t>
  </si>
  <si>
    <t>Beta1</t>
  </si>
  <si>
    <t>Beta2</t>
  </si>
  <si>
    <t>Beta3</t>
  </si>
  <si>
    <r>
      <t>(</t>
    </r>
    <r>
      <rPr>
        <i/>
        <sz val="11"/>
        <color theme="1"/>
        <rFont val="Calibri"/>
        <family val="2"/>
        <scheme val="minor"/>
      </rPr>
      <t>5 year Data)</t>
    </r>
  </si>
  <si>
    <r>
      <t>Regression Beta of Comps</t>
    </r>
    <r>
      <rPr>
        <b/>
        <i/>
        <sz val="11"/>
        <color theme="1"/>
        <rFont val="Calibri"/>
        <family val="2"/>
        <scheme val="minor"/>
      </rPr>
      <t xml:space="preserve"> (5 year Data)</t>
    </r>
  </si>
  <si>
    <t>(Using geomean formuala)</t>
  </si>
  <si>
    <t>Average formula)</t>
  </si>
  <si>
    <t xml:space="preserve">5. Market return has been calculated using the average </t>
  </si>
  <si>
    <t>method; therefore, WACC is slightly higher</t>
  </si>
  <si>
    <t>Nifty 50 returns - 20 years worth of powerful, downloadable data</t>
  </si>
  <si>
    <t>India 10-Year Bond Yield - Investing.com India</t>
  </si>
  <si>
    <t>Beta/Volatility of Berger Paints India Ltd. on Daily/ Weekly/ Monthly Period</t>
  </si>
  <si>
    <t>Stock Analysis of S&amp;P CNX NIFTY (NIFTY) - Birds Eye View</t>
  </si>
  <si>
    <r>
      <t>Beta</t>
    </r>
    <r>
      <rPr>
        <vertAlign val="superscript"/>
        <sz val="11"/>
        <color theme="1"/>
        <rFont val="Calibri"/>
        <family val="2"/>
        <scheme val="minor"/>
      </rPr>
      <t>1</t>
    </r>
  </si>
  <si>
    <r>
      <t>Beta</t>
    </r>
    <r>
      <rPr>
        <vertAlign val="superscript"/>
        <sz val="11"/>
        <color theme="1"/>
        <rFont val="Calibri"/>
        <family val="2"/>
        <scheme val="minor"/>
      </rPr>
      <t>2</t>
    </r>
  </si>
  <si>
    <t>-</t>
  </si>
  <si>
    <t>Stock is overvalued</t>
  </si>
  <si>
    <t>Figures in crores</t>
  </si>
  <si>
    <t xml:space="preserve">Comparable Company Valuation </t>
  </si>
  <si>
    <t>Market Data</t>
  </si>
  <si>
    <t>Financials</t>
  </si>
  <si>
    <t>Valuation</t>
  </si>
  <si>
    <t xml:space="preserve">Company </t>
  </si>
  <si>
    <t>Ticker</t>
  </si>
  <si>
    <t xml:space="preserve">Share Price </t>
  </si>
  <si>
    <t xml:space="preserve">Share Outstanding </t>
  </si>
  <si>
    <t>Equtiy Value</t>
  </si>
  <si>
    <t>Net Debt</t>
  </si>
  <si>
    <t xml:space="preserve">Enterprise Value </t>
  </si>
  <si>
    <t>Revenue</t>
  </si>
  <si>
    <t>Net Income</t>
  </si>
  <si>
    <t>EV/Revenue</t>
  </si>
  <si>
    <t>EV/EBITDA</t>
  </si>
  <si>
    <t>P/E</t>
  </si>
  <si>
    <t xml:space="preserve">S.No. </t>
  </si>
  <si>
    <t xml:space="preserve">Name </t>
  </si>
  <si>
    <t xml:space="preserve">CMP Rs. </t>
  </si>
  <si>
    <t xml:space="preserve">Sales Rs.Cr. </t>
  </si>
  <si>
    <t xml:space="preserve">No. Eq. Shares Cr. </t>
  </si>
  <si>
    <t xml:space="preserve">Debt Rs.Cr. </t>
  </si>
  <si>
    <t xml:space="preserve">Cash Rs.Cr. </t>
  </si>
  <si>
    <t xml:space="preserve">NP 12M Rs.Cr. </t>
  </si>
  <si>
    <t xml:space="preserve">EV / EBITDA </t>
  </si>
  <si>
    <t xml:space="preserve">Kansai Nerolac </t>
  </si>
  <si>
    <t xml:space="preserve">JSW Dulux </t>
  </si>
  <si>
    <t xml:space="preserve">Indigo Paints </t>
  </si>
  <si>
    <t xml:space="preserve">Sirca Paints </t>
  </si>
  <si>
    <t xml:space="preserve">Shalimar Paints </t>
  </si>
  <si>
    <t xml:space="preserve">Kamdhenu Venture </t>
  </si>
  <si>
    <t xml:space="preserve">Siddhika Coatins </t>
  </si>
  <si>
    <t>EV</t>
  </si>
  <si>
    <t>MA CAP</t>
  </si>
  <si>
    <t>High</t>
  </si>
  <si>
    <t>75th Percentile</t>
  </si>
  <si>
    <t>25th Percentile</t>
  </si>
  <si>
    <t>Low</t>
  </si>
  <si>
    <t>Asian Paints Comparable Valuation</t>
  </si>
  <si>
    <t>Implied Enterprise Value</t>
  </si>
  <si>
    <t>Implied Market Value</t>
  </si>
  <si>
    <t xml:space="preserve">Shares Outstanding </t>
  </si>
  <si>
    <t>Implied Value per Share</t>
  </si>
  <si>
    <t>Source: The Valuation School.in</t>
  </si>
  <si>
    <t>Asian paints</t>
  </si>
  <si>
    <t>Football Field Analysis - Data</t>
  </si>
  <si>
    <t>Comps</t>
  </si>
  <si>
    <t>DCF Bear</t>
  </si>
  <si>
    <t>DCF Base</t>
  </si>
  <si>
    <t>DCF Bull</t>
  </si>
  <si>
    <t>52W H/L</t>
  </si>
  <si>
    <t>OpenLow</t>
  </si>
  <si>
    <t>OpenHigh</t>
  </si>
  <si>
    <t>Asian Paints</t>
  </si>
  <si>
    <t>Wieghhted Average Cost of Capital (WACC)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</si>
</sst>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\₹#,##0.0;\(\₹#,##0.0\)"/>
    <numFmt numFmtId="167" formatCode="\₹#,##0.0;\(\₹#,##0.0\);\-"/>
    <numFmt numFmtId="168" formatCode="0.00&quot;x&quot;"/>
    <numFmt numFmtId="169" formatCode="yyyy&quot;A&quot;"/>
    <numFmt numFmtId="170" formatCode="yyyy&quot;E&quot;"/>
    <numFmt numFmtId="171" formatCode="0.0"/>
    <numFmt numFmtId="172" formatCode="dd\-mm\-yyyy"/>
    <numFmt numFmtId="173" formatCode="#,##0.0"/>
    <numFmt numFmtId="174" formatCode="#,##0.0;\(\₹#,##0.0\);\-"/>
    <numFmt numFmtId="175" formatCode="#,##0.0_);\(#,##0.0\)"/>
    <numFmt numFmtId="176" formatCode="#,##0.0;\(#,##0.0\);\-"/>
    <numFmt numFmtId="177" formatCode="mmm\-yy&quot;A&quot;"/>
    <numFmt numFmtId="178" formatCode="mmm\-yy&quot;E&quot;"/>
    <numFmt numFmtId="179" formatCode="#,##0.00&quot;x&quot;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sz val="9"/>
      <color theme="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FF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0"/>
      <name val="Algerian"/>
      <family val="5"/>
    </font>
    <font>
      <sz val="11"/>
      <color theme="0"/>
      <name val="Algerian"/>
      <family val="5"/>
    </font>
    <font>
      <sz val="9"/>
      <color rgb="FF21252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rgb="FF002060"/>
      </top>
      <bottom/>
      <diagonal/>
    </border>
    <border>
      <left/>
      <right/>
      <top/>
      <bottom style="hair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hair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</borders>
  <cellStyleXfs count="8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5" fillId="0" borderId="0"/>
  </cellStyleXfs>
  <cellXfs count="250">
    <xf numFmtId="0" fontId="0" fillId="0" borderId="0" xfId="0"/>
    <xf numFmtId="164" fontId="1" fillId="0" borderId="0" xfId="1" applyFont="1" applyBorder="1"/>
    <xf numFmtId="0" fontId="1" fillId="0" borderId="0" xfId="0" applyFont="1"/>
    <xf numFmtId="164" fontId="0" fillId="0" borderId="0" xfId="1" applyFont="1" applyBorder="1"/>
    <xf numFmtId="164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43" fontId="0" fillId="0" borderId="0" xfId="1" applyNumberFormat="1" applyFont="1" applyBorder="1"/>
    <xf numFmtId="17" fontId="0" fillId="0" borderId="0" xfId="0" applyNumberFormat="1"/>
    <xf numFmtId="17" fontId="2" fillId="4" borderId="0" xfId="0" applyNumberFormat="1" applyFont="1" applyFill="1" applyAlignment="1">
      <alignment horizontal="right"/>
    </xf>
    <xf numFmtId="0" fontId="2" fillId="4" borderId="0" xfId="0" applyFont="1" applyFill="1"/>
    <xf numFmtId="17" fontId="2" fillId="4" borderId="0" xfId="0" applyNumberFormat="1" applyFont="1" applyFill="1"/>
    <xf numFmtId="166" fontId="0" fillId="0" borderId="0" xfId="0" applyNumberFormat="1"/>
    <xf numFmtId="0" fontId="7" fillId="0" borderId="0" xfId="0" applyFont="1"/>
    <xf numFmtId="10" fontId="7" fillId="0" borderId="0" xfId="0" applyNumberFormat="1" applyFont="1"/>
    <xf numFmtId="167" fontId="0" fillId="0" borderId="0" xfId="0" applyNumberFormat="1"/>
    <xf numFmtId="10" fontId="0" fillId="0" borderId="0" xfId="0" applyNumberFormat="1"/>
    <xf numFmtId="0" fontId="0" fillId="5" borderId="0" xfId="0" applyFill="1"/>
    <xf numFmtId="0" fontId="1" fillId="5" borderId="0" xfId="0" applyFont="1" applyFill="1"/>
    <xf numFmtId="0" fontId="0" fillId="6" borderId="0" xfId="0" applyFill="1"/>
    <xf numFmtId="167" fontId="1" fillId="0" borderId="0" xfId="0" applyNumberFormat="1" applyFont="1"/>
    <xf numFmtId="0" fontId="1" fillId="6" borderId="0" xfId="0" applyFont="1" applyFill="1"/>
    <xf numFmtId="0" fontId="2" fillId="6" borderId="0" xfId="0" applyFont="1" applyFill="1"/>
    <xf numFmtId="17" fontId="2" fillId="6" borderId="0" xfId="0" applyNumberFormat="1" applyFont="1" applyFill="1"/>
    <xf numFmtId="17" fontId="2" fillId="6" borderId="0" xfId="0" applyNumberFormat="1" applyFont="1" applyFill="1" applyAlignment="1">
      <alignment horizontal="right"/>
    </xf>
    <xf numFmtId="17" fontId="0" fillId="6" borderId="0" xfId="0" applyNumberFormat="1" applyFill="1"/>
    <xf numFmtId="0" fontId="1" fillId="0" borderId="1" xfId="0" applyFont="1" applyBorder="1"/>
    <xf numFmtId="167" fontId="1" fillId="0" borderId="1" xfId="0" applyNumberFormat="1" applyFont="1" applyBorder="1"/>
    <xf numFmtId="164" fontId="1" fillId="0" borderId="1" xfId="1" applyFont="1" applyBorder="1"/>
    <xf numFmtId="164" fontId="1" fillId="0" borderId="1" xfId="1" applyFont="1" applyFill="1" applyBorder="1" applyAlignment="1"/>
    <xf numFmtId="0" fontId="1" fillId="0" borderId="1" xfId="0" applyFont="1" applyBorder="1" applyAlignment="1">
      <alignment horizontal="left"/>
    </xf>
    <xf numFmtId="0" fontId="1" fillId="0" borderId="2" xfId="0" applyFont="1" applyBorder="1"/>
    <xf numFmtId="167" fontId="1" fillId="0" borderId="2" xfId="0" applyNumberFormat="1" applyFont="1" applyBorder="1"/>
    <xf numFmtId="168" fontId="0" fillId="0" borderId="0" xfId="0" applyNumberFormat="1"/>
    <xf numFmtId="0" fontId="0" fillId="0" borderId="3" xfId="0" applyBorder="1"/>
    <xf numFmtId="10" fontId="0" fillId="0" borderId="3" xfId="0" applyNumberFormat="1" applyBorder="1"/>
    <xf numFmtId="0" fontId="0" fillId="0" borderId="4" xfId="0" applyBorder="1"/>
    <xf numFmtId="10" fontId="0" fillId="0" borderId="4" xfId="0" applyNumberFormat="1" applyBorder="1"/>
    <xf numFmtId="10" fontId="0" fillId="0" borderId="3" xfId="4" applyNumberFormat="1" applyFont="1" applyBorder="1"/>
    <xf numFmtId="10" fontId="0" fillId="0" borderId="0" xfId="4" applyNumberFormat="1" applyFont="1" applyBorder="1"/>
    <xf numFmtId="10" fontId="0" fillId="0" borderId="4" xfId="4" applyNumberFormat="1" applyFont="1" applyBorder="1"/>
    <xf numFmtId="168" fontId="0" fillId="0" borderId="4" xfId="0" applyNumberFormat="1" applyBorder="1"/>
    <xf numFmtId="168" fontId="0" fillId="0" borderId="3" xfId="0" applyNumberFormat="1" applyBorder="1"/>
    <xf numFmtId="1" fontId="0" fillId="0" borderId="3" xfId="0" applyNumberFormat="1" applyBorder="1"/>
    <xf numFmtId="1" fontId="0" fillId="0" borderId="0" xfId="0" applyNumberFormat="1"/>
    <xf numFmtId="1" fontId="0" fillId="0" borderId="4" xfId="0" applyNumberFormat="1" applyBorder="1"/>
    <xf numFmtId="17" fontId="2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3" fontId="0" fillId="0" borderId="0" xfId="0" applyNumberFormat="1" applyAlignment="1">
      <alignment vertical="center" wrapText="1"/>
    </xf>
    <xf numFmtId="17" fontId="2" fillId="4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left"/>
    </xf>
    <xf numFmtId="169" fontId="0" fillId="0" borderId="0" xfId="0" applyNumberFormat="1" applyAlignment="1">
      <alignment horizontal="right"/>
    </xf>
    <xf numFmtId="171" fontId="0" fillId="0" borderId="0" xfId="0" applyNumberFormat="1"/>
    <xf numFmtId="10" fontId="0" fillId="0" borderId="0" xfId="4" applyNumberFormat="1" applyFont="1"/>
    <xf numFmtId="0" fontId="3" fillId="7" borderId="0" xfId="0" applyFont="1" applyFill="1" applyAlignment="1">
      <alignment horizontal="left"/>
    </xf>
    <xf numFmtId="170" fontId="0" fillId="7" borderId="0" xfId="0" applyNumberFormat="1" applyFill="1" applyAlignment="1">
      <alignment horizontal="right"/>
    </xf>
    <xf numFmtId="171" fontId="0" fillId="7" borderId="0" xfId="0" applyNumberFormat="1" applyFill="1"/>
    <xf numFmtId="10" fontId="0" fillId="7" borderId="0" xfId="4" applyNumberFormat="1" applyFont="1" applyFill="1"/>
    <xf numFmtId="2" fontId="0" fillId="0" borderId="0" xfId="0" applyNumberFormat="1"/>
    <xf numFmtId="0" fontId="1" fillId="0" borderId="5" xfId="0" applyFont="1" applyBorder="1"/>
    <xf numFmtId="0" fontId="5" fillId="4" borderId="0" xfId="0" applyFont="1" applyFill="1"/>
    <xf numFmtId="165" fontId="1" fillId="0" borderId="5" xfId="0" applyNumberFormat="1" applyFont="1" applyBorder="1"/>
    <xf numFmtId="10" fontId="0" fillId="0" borderId="0" xfId="4" applyNumberFormat="1" applyFont="1" applyAlignment="1"/>
    <xf numFmtId="0" fontId="1" fillId="0" borderId="5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/>
    <xf numFmtId="10" fontId="1" fillId="0" borderId="0" xfId="4" applyNumberFormat="1" applyFont="1" applyBorder="1" applyAlignment="1"/>
    <xf numFmtId="0" fontId="8" fillId="4" borderId="0" xfId="0" applyFont="1" applyFill="1"/>
    <xf numFmtId="0" fontId="3" fillId="4" borderId="0" xfId="0" applyFont="1" applyFill="1"/>
    <xf numFmtId="0" fontId="3" fillId="0" borderId="0" xfId="0" applyFont="1"/>
    <xf numFmtId="0" fontId="1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/>
    <xf numFmtId="172" fontId="3" fillId="0" borderId="0" xfId="0" applyNumberFormat="1" applyFont="1" applyAlignment="1">
      <alignment horizontal="left" wrapText="1"/>
    </xf>
    <xf numFmtId="173" fontId="3" fillId="0" borderId="0" xfId="0" applyNumberFormat="1" applyFont="1" applyAlignment="1">
      <alignment wrapText="1"/>
    </xf>
    <xf numFmtId="10" fontId="3" fillId="0" borderId="0" xfId="0" applyNumberFormat="1" applyFont="1"/>
    <xf numFmtId="10" fontId="3" fillId="0" borderId="0" xfId="4" applyNumberFormat="1" applyFont="1" applyAlignment="1"/>
    <xf numFmtId="172" fontId="3" fillId="0" borderId="0" xfId="0" applyNumberFormat="1" applyFont="1" applyAlignment="1">
      <alignment wrapText="1"/>
    </xf>
    <xf numFmtId="173" fontId="0" fillId="0" borderId="0" xfId="0" applyNumberFormat="1" applyAlignment="1">
      <alignment wrapText="1"/>
    </xf>
    <xf numFmtId="10" fontId="3" fillId="0" borderId="0" xfId="4" applyNumberFormat="1" applyFont="1"/>
    <xf numFmtId="10" fontId="3" fillId="0" borderId="0" xfId="0" applyNumberFormat="1" applyFont="1" applyAlignment="1">
      <alignment horizontal="right"/>
    </xf>
    <xf numFmtId="0" fontId="1" fillId="9" borderId="0" xfId="0" applyFont="1" applyFill="1"/>
    <xf numFmtId="0" fontId="3" fillId="9" borderId="0" xfId="0" applyFont="1" applyFill="1"/>
    <xf numFmtId="0" fontId="10" fillId="0" borderId="0" xfId="0" applyFont="1"/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0" fontId="3" fillId="0" borderId="9" xfId="0" applyFont="1" applyBorder="1"/>
    <xf numFmtId="0" fontId="3" fillId="0" borderId="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0" xfId="0" applyFont="1"/>
    <xf numFmtId="173" fontId="11" fillId="0" borderId="0" xfId="0" applyNumberFormat="1" applyFont="1"/>
    <xf numFmtId="10" fontId="11" fillId="0" borderId="0" xfId="4" applyNumberFormat="1" applyFont="1" applyAlignment="1">
      <alignment horizontal="right"/>
    </xf>
    <xf numFmtId="10" fontId="3" fillId="10" borderId="0" xfId="4" applyNumberFormat="1" applyFont="1" applyFill="1"/>
    <xf numFmtId="2" fontId="3" fillId="10" borderId="0" xfId="0" applyNumberFormat="1" applyFont="1" applyFill="1"/>
    <xf numFmtId="0" fontId="1" fillId="0" borderId="8" xfId="0" applyFont="1" applyBorder="1"/>
    <xf numFmtId="10" fontId="3" fillId="0" borderId="8" xfId="0" applyNumberFormat="1" applyFont="1" applyBorder="1"/>
    <xf numFmtId="10" fontId="3" fillId="10" borderId="8" xfId="4" applyNumberFormat="1" applyFont="1" applyFill="1" applyBorder="1"/>
    <xf numFmtId="2" fontId="3" fillId="0" borderId="8" xfId="0" applyNumberFormat="1" applyFont="1" applyBorder="1"/>
    <xf numFmtId="0" fontId="1" fillId="0" borderId="9" xfId="0" applyFont="1" applyBorder="1"/>
    <xf numFmtId="10" fontId="3" fillId="0" borderId="9" xfId="0" applyNumberFormat="1" applyFont="1" applyBorder="1"/>
    <xf numFmtId="10" fontId="3" fillId="10" borderId="9" xfId="4" applyNumberFormat="1" applyFont="1" applyFill="1" applyBorder="1"/>
    <xf numFmtId="2" fontId="3" fillId="0" borderId="9" xfId="0" applyNumberFormat="1" applyFont="1" applyBorder="1"/>
    <xf numFmtId="10" fontId="11" fillId="0" borderId="0" xfId="0" applyNumberFormat="1" applyFont="1"/>
    <xf numFmtId="10" fontId="3" fillId="0" borderId="0" xfId="4" applyNumberFormat="1" applyFont="1" applyBorder="1"/>
    <xf numFmtId="0" fontId="3" fillId="0" borderId="10" xfId="0" applyFont="1" applyBorder="1"/>
    <xf numFmtId="10" fontId="3" fillId="0" borderId="10" xfId="0" applyNumberFormat="1" applyFont="1" applyBorder="1"/>
    <xf numFmtId="10" fontId="3" fillId="0" borderId="10" xfId="4" applyNumberFormat="1" applyFont="1" applyBorder="1"/>
    <xf numFmtId="0" fontId="1" fillId="0" borderId="9" xfId="0" applyFont="1" applyBorder="1" applyAlignment="1">
      <alignment horizontal="right"/>
    </xf>
    <xf numFmtId="173" fontId="3" fillId="0" borderId="0" xfId="0" applyNumberFormat="1" applyFont="1"/>
    <xf numFmtId="173" fontId="3" fillId="0" borderId="10" xfId="0" applyNumberFormat="1" applyFont="1" applyBorder="1"/>
    <xf numFmtId="2" fontId="3" fillId="7" borderId="10" xfId="0" applyNumberFormat="1" applyFont="1" applyFill="1" applyBorder="1"/>
    <xf numFmtId="10" fontId="3" fillId="7" borderId="0" xfId="0" applyNumberFormat="1" applyFont="1" applyFill="1"/>
    <xf numFmtId="10" fontId="3" fillId="6" borderId="0" xfId="0" applyNumberFormat="1" applyFont="1" applyFill="1"/>
    <xf numFmtId="0" fontId="12" fillId="0" borderId="0" xfId="0" applyFont="1" applyAlignment="1">
      <alignment vertical="top"/>
    </xf>
    <xf numFmtId="0" fontId="1" fillId="7" borderId="0" xfId="0" applyFont="1" applyFill="1"/>
    <xf numFmtId="10" fontId="1" fillId="7" borderId="0" xfId="0" applyNumberFormat="1" applyFont="1" applyFill="1"/>
    <xf numFmtId="2" fontId="3" fillId="10" borderId="9" xfId="0" applyNumberFormat="1" applyFont="1" applyFill="1" applyBorder="1"/>
    <xf numFmtId="0" fontId="3" fillId="10" borderId="0" xfId="0" applyFont="1" applyFill="1"/>
    <xf numFmtId="0" fontId="1" fillId="0" borderId="5" xfId="0" applyFont="1" applyBorder="1" applyAlignment="1">
      <alignment horizontal="right"/>
    </xf>
    <xf numFmtId="17" fontId="5" fillId="4" borderId="0" xfId="0" applyNumberFormat="1" applyFont="1" applyFill="1"/>
    <xf numFmtId="0" fontId="0" fillId="0" borderId="2" xfId="0" applyBorder="1"/>
    <xf numFmtId="174" fontId="0" fillId="0" borderId="0" xfId="0" applyNumberFormat="1" applyAlignment="1">
      <alignment wrapText="1"/>
    </xf>
    <xf numFmtId="174" fontId="2" fillId="4" borderId="0" xfId="0" applyNumberFormat="1" applyFont="1" applyFill="1"/>
    <xf numFmtId="174" fontId="0" fillId="0" borderId="0" xfId="0" applyNumberFormat="1"/>
    <xf numFmtId="174" fontId="1" fillId="0" borderId="0" xfId="0" applyNumberFormat="1" applyFont="1"/>
    <xf numFmtId="174" fontId="0" fillId="0" borderId="2" xfId="0" applyNumberFormat="1" applyBorder="1"/>
    <xf numFmtId="174" fontId="0" fillId="0" borderId="12" xfId="0" applyNumberFormat="1" applyBorder="1"/>
    <xf numFmtId="174" fontId="1" fillId="0" borderId="11" xfId="0" applyNumberFormat="1" applyFont="1" applyBorder="1"/>
    <xf numFmtId="174" fontId="0" fillId="0" borderId="11" xfId="0" applyNumberFormat="1" applyBorder="1"/>
    <xf numFmtId="174" fontId="1" fillId="0" borderId="13" xfId="0" applyNumberFormat="1" applyFont="1" applyBorder="1"/>
    <xf numFmtId="174" fontId="0" fillId="0" borderId="13" xfId="0" applyNumberFormat="1" applyBorder="1"/>
    <xf numFmtId="174" fontId="0" fillId="0" borderId="1" xfId="0" applyNumberFormat="1" applyBorder="1"/>
    <xf numFmtId="165" fontId="2" fillId="4" borderId="0" xfId="0" applyNumberFormat="1" applyFont="1" applyFill="1"/>
    <xf numFmtId="0" fontId="0" fillId="0" borderId="13" xfId="0" applyBorder="1"/>
    <xf numFmtId="0" fontId="0" fillId="0" borderId="12" xfId="0" applyBorder="1"/>
    <xf numFmtId="0" fontId="1" fillId="0" borderId="13" xfId="0" applyFont="1" applyBorder="1"/>
    <xf numFmtId="0" fontId="1" fillId="0" borderId="14" xfId="0" applyFont="1" applyBorder="1"/>
    <xf numFmtId="0" fontId="0" fillId="0" borderId="14" xfId="0" applyBorder="1"/>
    <xf numFmtId="10" fontId="1" fillId="0" borderId="14" xfId="4" applyNumberFormat="1" applyFont="1" applyBorder="1"/>
    <xf numFmtId="167" fontId="0" fillId="0" borderId="2" xfId="0" applyNumberFormat="1" applyBorder="1"/>
    <xf numFmtId="0" fontId="1" fillId="0" borderId="11" xfId="0" applyFont="1" applyBorder="1"/>
    <xf numFmtId="167" fontId="1" fillId="0" borderId="11" xfId="0" applyNumberFormat="1" applyFont="1" applyBorder="1"/>
    <xf numFmtId="175" fontId="0" fillId="0" borderId="14" xfId="0" applyNumberFormat="1" applyBorder="1"/>
    <xf numFmtId="176" fontId="0" fillId="0" borderId="2" xfId="0" applyNumberFormat="1" applyBorder="1"/>
    <xf numFmtId="176" fontId="0" fillId="0" borderId="12" xfId="0" applyNumberFormat="1" applyBorder="1"/>
    <xf numFmtId="176" fontId="1" fillId="0" borderId="13" xfId="0" applyNumberFormat="1" applyFont="1" applyBorder="1"/>
    <xf numFmtId="176" fontId="0" fillId="0" borderId="0" xfId="0" applyNumberFormat="1"/>
    <xf numFmtId="176" fontId="1" fillId="0" borderId="14" xfId="0" applyNumberFormat="1" applyFont="1" applyBorder="1"/>
    <xf numFmtId="176" fontId="0" fillId="0" borderId="3" xfId="0" applyNumberFormat="1" applyBorder="1"/>
    <xf numFmtId="176" fontId="1" fillId="0" borderId="0" xfId="0" applyNumberFormat="1" applyFont="1"/>
    <xf numFmtId="176" fontId="6" fillId="0" borderId="2" xfId="0" applyNumberFormat="1" applyFont="1" applyBorder="1"/>
    <xf numFmtId="10" fontId="0" fillId="0" borderId="2" xfId="0" applyNumberFormat="1" applyBorder="1"/>
    <xf numFmtId="10" fontId="1" fillId="0" borderId="14" xfId="0" applyNumberFormat="1" applyFont="1" applyBorder="1"/>
    <xf numFmtId="177" fontId="5" fillId="4" borderId="0" xfId="0" applyNumberFormat="1" applyFont="1" applyFill="1"/>
    <xf numFmtId="178" fontId="5" fillId="4" borderId="0" xfId="0" applyNumberFormat="1" applyFont="1" applyFill="1"/>
    <xf numFmtId="0" fontId="0" fillId="7" borderId="0" xfId="0" applyFill="1"/>
    <xf numFmtId="0" fontId="0" fillId="10" borderId="0" xfId="0" applyFill="1"/>
    <xf numFmtId="0" fontId="0" fillId="10" borderId="2" xfId="0" applyFill="1" applyBorder="1"/>
    <xf numFmtId="10" fontId="13" fillId="10" borderId="2" xfId="4" applyNumberFormat="1" applyFont="1" applyFill="1" applyBorder="1"/>
    <xf numFmtId="10" fontId="0" fillId="10" borderId="2" xfId="0" applyNumberFormat="1" applyFill="1" applyBorder="1"/>
    <xf numFmtId="10" fontId="13" fillId="0" borderId="2" xfId="4" applyNumberFormat="1" applyFont="1" applyBorder="1"/>
    <xf numFmtId="2" fontId="0" fillId="0" borderId="2" xfId="0" applyNumberFormat="1" applyBorder="1"/>
    <xf numFmtId="10" fontId="0" fillId="7" borderId="0" xfId="0" applyNumberFormat="1" applyFill="1"/>
    <xf numFmtId="4" fontId="0" fillId="0" borderId="0" xfId="0" applyNumberFormat="1"/>
    <xf numFmtId="0" fontId="4" fillId="0" borderId="0" xfId="2" applyAlignment="1" applyProtection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3" fontId="0" fillId="0" borderId="0" xfId="0" applyNumberFormat="1"/>
    <xf numFmtId="173" fontId="1" fillId="0" borderId="0" xfId="0" applyNumberFormat="1" applyFont="1"/>
    <xf numFmtId="173" fontId="0" fillId="0" borderId="14" xfId="0" applyNumberFormat="1" applyBorder="1"/>
    <xf numFmtId="173" fontId="0" fillId="0" borderId="2" xfId="0" applyNumberFormat="1" applyBorder="1"/>
    <xf numFmtId="173" fontId="1" fillId="0" borderId="14" xfId="0" applyNumberFormat="1" applyFont="1" applyBorder="1"/>
    <xf numFmtId="4" fontId="5" fillId="0" borderId="0" xfId="0" applyNumberFormat="1" applyFont="1" applyAlignment="1">
      <alignment horizontal="left"/>
    </xf>
    <xf numFmtId="10" fontId="1" fillId="0" borderId="0" xfId="4" applyNumberFormat="1" applyFont="1" applyAlignment="1">
      <alignment horizontal="left"/>
    </xf>
    <xf numFmtId="10" fontId="1" fillId="0" borderId="0" xfId="4" applyNumberFormat="1" applyFont="1"/>
    <xf numFmtId="10" fontId="0" fillId="0" borderId="0" xfId="0" applyNumberFormat="1" applyAlignment="1">
      <alignment horizontal="right"/>
    </xf>
    <xf numFmtId="172" fontId="0" fillId="0" borderId="0" xfId="0" applyNumberFormat="1" applyAlignment="1">
      <alignment wrapText="1"/>
    </xf>
    <xf numFmtId="172" fontId="0" fillId="0" borderId="0" xfId="0" applyNumberFormat="1" applyAlignment="1">
      <alignment horizontal="left" wrapText="1"/>
    </xf>
    <xf numFmtId="172" fontId="2" fillId="0" borderId="0" xfId="0" applyNumberFormat="1" applyFont="1" applyAlignment="1">
      <alignment wrapText="1"/>
    </xf>
    <xf numFmtId="0" fontId="0" fillId="0" borderId="7" xfId="0" applyBorder="1"/>
    <xf numFmtId="0" fontId="10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Continuous"/>
    </xf>
    <xf numFmtId="172" fontId="1" fillId="0" borderId="0" xfId="0" applyNumberFormat="1" applyFont="1" applyAlignment="1">
      <alignment wrapText="1"/>
    </xf>
    <xf numFmtId="172" fontId="1" fillId="7" borderId="0" xfId="0" applyNumberFormat="1" applyFont="1" applyFill="1" applyAlignment="1">
      <alignment wrapText="1"/>
    </xf>
    <xf numFmtId="2" fontId="3" fillId="7" borderId="0" xfId="0" applyNumberFormat="1" applyFont="1" applyFill="1" applyAlignment="1">
      <alignment wrapText="1"/>
    </xf>
    <xf numFmtId="2" fontId="3" fillId="7" borderId="0" xfId="4" applyNumberFormat="1" applyFont="1" applyFill="1"/>
    <xf numFmtId="2" fontId="3" fillId="7" borderId="0" xfId="0" applyNumberFormat="1" applyFont="1" applyFill="1"/>
    <xf numFmtId="172" fontId="1" fillId="7" borderId="0" xfId="0" applyNumberFormat="1" applyFont="1" applyFill="1" applyAlignment="1">
      <alignment horizontal="right" wrapText="1"/>
    </xf>
    <xf numFmtId="2" fontId="0" fillId="7" borderId="0" xfId="0" applyNumberFormat="1" applyFill="1" applyAlignment="1">
      <alignment wrapText="1"/>
    </xf>
    <xf numFmtId="10" fontId="6" fillId="0" borderId="2" xfId="4" applyNumberFormat="1" applyFont="1" applyBorder="1"/>
    <xf numFmtId="173" fontId="0" fillId="7" borderId="0" xfId="0" applyNumberFormat="1" applyFill="1"/>
    <xf numFmtId="179" fontId="1" fillId="7" borderId="0" xfId="4" applyNumberFormat="1" applyFont="1" applyFill="1"/>
    <xf numFmtId="0" fontId="0" fillId="4" borderId="0" xfId="0" applyFill="1"/>
    <xf numFmtId="0" fontId="2" fillId="8" borderId="0" xfId="0" applyFont="1" applyFill="1"/>
    <xf numFmtId="173" fontId="5" fillId="0" borderId="0" xfId="0" applyNumberFormat="1" applyFont="1"/>
    <xf numFmtId="10" fontId="1" fillId="0" borderId="0" xfId="4" applyNumberFormat="1" applyFont="1" applyAlignment="1">
      <alignment horizontal="right"/>
    </xf>
    <xf numFmtId="17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right" vertical="center"/>
    </xf>
    <xf numFmtId="173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173" fontId="0" fillId="0" borderId="0" xfId="0" applyNumberFormat="1" applyAlignment="1">
      <alignment horizontal="center"/>
    </xf>
    <xf numFmtId="10" fontId="6" fillId="0" borderId="2" xfId="4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173" fontId="0" fillId="0" borderId="14" xfId="0" applyNumberFormat="1" applyBorder="1" applyAlignment="1">
      <alignment horizontal="center"/>
    </xf>
    <xf numFmtId="0" fontId="3" fillId="0" borderId="9" xfId="0" applyFont="1" applyBorder="1" applyAlignment="1">
      <alignment horizontal="right"/>
    </xf>
    <xf numFmtId="0" fontId="2" fillId="0" borderId="0" xfId="0" applyFont="1"/>
    <xf numFmtId="10" fontId="2" fillId="0" borderId="0" xfId="0" applyNumberFormat="1" applyFont="1"/>
    <xf numFmtId="173" fontId="0" fillId="7" borderId="0" xfId="0" applyNumberFormat="1" applyFill="1" applyAlignment="1">
      <alignment horizontal="right"/>
    </xf>
    <xf numFmtId="10" fontId="1" fillId="7" borderId="0" xfId="4" applyNumberFormat="1" applyFont="1" applyFill="1"/>
    <xf numFmtId="0" fontId="20" fillId="4" borderId="0" xfId="0" applyFont="1" applyFill="1" applyAlignment="1">
      <alignment wrapText="1"/>
    </xf>
    <xf numFmtId="0" fontId="22" fillId="4" borderId="0" xfId="0" applyFont="1" applyFill="1" applyAlignment="1">
      <alignment horizontal="left"/>
    </xf>
    <xf numFmtId="0" fontId="3" fillId="0" borderId="5" xfId="0" applyFont="1" applyBorder="1"/>
    <xf numFmtId="0" fontId="2" fillId="4" borderId="0" xfId="0" applyFont="1" applyFill="1" applyAlignment="1">
      <alignment horizontal="right" wrapText="1"/>
    </xf>
    <xf numFmtId="0" fontId="2" fillId="4" borderId="0" xfId="0" applyFont="1" applyFill="1" applyAlignment="1">
      <alignment horizontal="right"/>
    </xf>
    <xf numFmtId="3" fontId="0" fillId="0" borderId="0" xfId="0" applyNumberFormat="1"/>
    <xf numFmtId="0" fontId="0" fillId="7" borderId="2" xfId="0" applyFill="1" applyBorder="1"/>
    <xf numFmtId="0" fontId="1" fillId="7" borderId="2" xfId="0" applyFont="1" applyFill="1" applyBorder="1"/>
    <xf numFmtId="3" fontId="0" fillId="7" borderId="2" xfId="0" applyNumberFormat="1" applyFill="1" applyBorder="1" applyAlignment="1">
      <alignment horizontal="right"/>
    </xf>
    <xf numFmtId="3" fontId="0" fillId="0" borderId="2" xfId="0" applyNumberFormat="1" applyBorder="1" applyAlignment="1">
      <alignment horizontal="right"/>
    </xf>
    <xf numFmtId="4" fontId="0" fillId="7" borderId="2" xfId="0" applyNumberFormat="1" applyFill="1" applyBorder="1" applyAlignment="1">
      <alignment horizontal="right"/>
    </xf>
    <xf numFmtId="4" fontId="0" fillId="0" borderId="2" xfId="0" applyNumberFormat="1" applyBorder="1" applyAlignment="1">
      <alignment horizontal="right"/>
    </xf>
    <xf numFmtId="168" fontId="0" fillId="7" borderId="2" xfId="0" applyNumberFormat="1" applyFill="1" applyBorder="1" applyAlignment="1">
      <alignment horizontal="right"/>
    </xf>
    <xf numFmtId="168" fontId="0" fillId="0" borderId="2" xfId="0" applyNumberFormat="1" applyBorder="1" applyAlignment="1">
      <alignment horizontal="right"/>
    </xf>
    <xf numFmtId="168" fontId="0" fillId="7" borderId="2" xfId="0" applyNumberFormat="1" applyFill="1" applyBorder="1"/>
    <xf numFmtId="168" fontId="1" fillId="7" borderId="2" xfId="0" applyNumberFormat="1" applyFont="1" applyFill="1" applyBorder="1"/>
    <xf numFmtId="0" fontId="1" fillId="7" borderId="11" xfId="0" applyFont="1" applyFill="1" applyBorder="1"/>
    <xf numFmtId="3" fontId="0" fillId="0" borderId="2" xfId="0" applyNumberFormat="1" applyBorder="1"/>
    <xf numFmtId="3" fontId="1" fillId="7" borderId="11" xfId="0" applyNumberFormat="1" applyFont="1" applyFill="1" applyBorder="1"/>
    <xf numFmtId="173" fontId="23" fillId="0" borderId="0" xfId="0" applyNumberFormat="1" applyFont="1"/>
    <xf numFmtId="0" fontId="18" fillId="4" borderId="0" xfId="0" applyFont="1" applyFill="1" applyAlignment="1">
      <alignment vertical="center" wrapText="1"/>
    </xf>
    <xf numFmtId="0" fontId="16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21" fillId="4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2" fillId="8" borderId="0" xfId="0" applyFont="1" applyFill="1" applyAlignment="1">
      <alignment horizontal="center" wrapText="1"/>
    </xf>
    <xf numFmtId="0" fontId="2" fillId="8" borderId="0" xfId="0" applyFont="1" applyFill="1" applyAlignment="1">
      <alignment horizontal="center"/>
    </xf>
    <xf numFmtId="0" fontId="1" fillId="0" borderId="0" xfId="0" applyFont="1" applyAlignment="1">
      <alignment horizontal="center" wrapText="1"/>
    </xf>
    <xf numFmtId="0" fontId="17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4" fontId="4" fillId="0" borderId="0" xfId="2" applyNumberFormat="1" applyBorder="1" applyAlignment="1" applyProtection="1">
      <alignment horizontal="center"/>
    </xf>
    <xf numFmtId="164" fontId="2" fillId="2" borderId="0" xfId="3" applyNumberFormat="1" applyFont="1" applyBorder="1" applyAlignment="1">
      <alignment horizontal="center"/>
    </xf>
    <xf numFmtId="0" fontId="18" fillId="4" borderId="0" xfId="0" applyFont="1" applyFill="1" applyAlignment="1">
      <alignment horizontal="center" vertical="center" wrapText="1"/>
    </xf>
    <xf numFmtId="0" fontId="21" fillId="4" borderId="0" xfId="0" applyFont="1" applyFill="1" applyAlignment="1">
      <alignment horizontal="left" wrapText="1"/>
    </xf>
    <xf numFmtId="0" fontId="2" fillId="4" borderId="15" xfId="0" applyFont="1" applyFill="1" applyBorder="1" applyAlignment="1">
      <alignment horizontal="center"/>
    </xf>
    <xf numFmtId="0" fontId="5" fillId="4" borderId="15" xfId="0" applyFont="1" applyFill="1" applyBorder="1" applyAlignment="1">
      <alignment horizontal="center"/>
    </xf>
  </cellXfs>
  <cellStyles count="8">
    <cellStyle name="Accent6" xfId="3" builtinId="49"/>
    <cellStyle name="Comma" xfId="1" builtinId="3"/>
    <cellStyle name="Hyperlink" xfId="2" builtinId="8"/>
    <cellStyle name="Normal" xfId="0" builtinId="0"/>
    <cellStyle name="Normal 2" xfId="7" xr:uid="{C50AA366-51A2-4288-ACA2-B9B576D3A30D}"/>
    <cellStyle name="Normal 3" xfId="5" xr:uid="{7A83FAB1-AB9D-4F55-9275-FC14E8454F69}"/>
    <cellStyle name="Per cent" xfId="4" builtinId="5"/>
    <cellStyle name="Per cent 2" xfId="6" xr:uid="{C4983E9A-B885-4479-9478-DB15E7A585DD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Analysis'!$L$9:$L$13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Analysis'!$N$9:$N$13</c:f>
              <c:numCache>
                <c:formatCode>#,##0.0</c:formatCode>
                <c:ptCount val="5"/>
                <c:pt idx="0">
                  <c:v>1117.8157140949722</c:v>
                </c:pt>
                <c:pt idx="1">
                  <c:v>91221.242562394182</c:v>
                </c:pt>
                <c:pt idx="2">
                  <c:v>96231.041373989196</c:v>
                </c:pt>
                <c:pt idx="3">
                  <c:v>113212.30747562944</c:v>
                </c:pt>
                <c:pt idx="4">
                  <c:v>2115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70-4718-933D-DAE9B1E1CBF8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0749338460932514E-2"/>
                  <c:y val="2.52823975274118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531-402F-919D-3E77A13A52F0}"/>
                </c:ext>
              </c:extLst>
            </c:dLbl>
            <c:dLbl>
              <c:idx val="4"/>
              <c:layout>
                <c:manualLayout>
                  <c:x val="-4.5114099823470227E-2"/>
                  <c:y val="3.1061275050899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531-402F-919D-3E77A13A52F0}"/>
                </c:ext>
              </c:extLst>
            </c:dLbl>
            <c:numFmt formatCode="[$₹-439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Analysis'!$L$9:$L$13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Analysis'!$O$9:$O$13</c:f>
              <c:numCache>
                <c:formatCode>#,##0.0</c:formatCode>
                <c:ptCount val="5"/>
                <c:pt idx="0">
                  <c:v>1117.8157140949722</c:v>
                </c:pt>
                <c:pt idx="1">
                  <c:v>91221.242562394182</c:v>
                </c:pt>
                <c:pt idx="2">
                  <c:v>96231.041373989196</c:v>
                </c:pt>
                <c:pt idx="3">
                  <c:v>113212.30747562944</c:v>
                </c:pt>
                <c:pt idx="4">
                  <c:v>2115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70-4718-933D-DAE9B1E1CBF8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Analysis'!$L$9:$L$13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Analysis'!$P$9:$P$13</c:f>
              <c:numCache>
                <c:formatCode>#,##0.0</c:formatCode>
                <c:ptCount val="5"/>
                <c:pt idx="0">
                  <c:v>1158.6992684953784</c:v>
                </c:pt>
                <c:pt idx="1">
                  <c:v>106614.98800165886</c:v>
                </c:pt>
                <c:pt idx="2">
                  <c:v>113924.24842605792</c:v>
                </c:pt>
                <c:pt idx="3">
                  <c:v>140201.34168732728</c:v>
                </c:pt>
                <c:pt idx="4">
                  <c:v>2985.7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70-4718-933D-DAE9B1E1CBF8}"/>
            </c:ext>
          </c:extLst>
        </c:ser>
        <c:ser>
          <c:idx val="3"/>
          <c:order val="3"/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numFmt formatCode="[$₹-439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Analysis'!$L$9:$L$13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Analysis'!$Q$9:$Q$13</c:f>
              <c:numCache>
                <c:formatCode>#,##0.0</c:formatCode>
                <c:ptCount val="5"/>
                <c:pt idx="0">
                  <c:v>1158.6992684953784</c:v>
                </c:pt>
                <c:pt idx="1">
                  <c:v>106614.98800165886</c:v>
                </c:pt>
                <c:pt idx="2">
                  <c:v>113924.24842605792</c:v>
                </c:pt>
                <c:pt idx="3">
                  <c:v>140201.34168732728</c:v>
                </c:pt>
                <c:pt idx="4">
                  <c:v>2985.7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70-4718-933D-DAE9B1E1C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rgbClr val="002060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698586479"/>
        <c:axId val="698593199"/>
      </c:stockChart>
      <c:catAx>
        <c:axId val="69858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93199"/>
        <c:crosses val="autoZero"/>
        <c:auto val="1"/>
        <c:lblAlgn val="ctr"/>
        <c:lblOffset val="100"/>
        <c:noMultiLvlLbl val="0"/>
      </c:catAx>
      <c:valAx>
        <c:axId val="698593199"/>
        <c:scaling>
          <c:orientation val="minMax"/>
          <c:min val="0"/>
        </c:scaling>
        <c:delete val="0"/>
        <c:axPos val="l"/>
        <c:numFmt formatCode="[$₹-4009]\ 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86479"/>
        <c:crosses val="autoZero"/>
        <c:crossBetween val="between"/>
        <c:majorUnit val="30000"/>
        <c:minorUnit val="1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34955</xdr:colOff>
      <xdr:row>0</xdr:row>
      <xdr:rowOff>153797</xdr:rowOff>
    </xdr:from>
    <xdr:to>
      <xdr:col>3</xdr:col>
      <xdr:colOff>94706</xdr:colOff>
      <xdr:row>4</xdr:row>
      <xdr:rowOff>126758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B303EA-CADE-458E-8763-093067452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55" y="153797"/>
          <a:ext cx="1408980" cy="7000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121920</xdr:colOff>
      <xdr:row>0</xdr:row>
      <xdr:rowOff>160020</xdr:rowOff>
    </xdr:from>
    <xdr:to>
      <xdr:col>3</xdr:col>
      <xdr:colOff>136440</xdr:colOff>
      <xdr:row>4</xdr:row>
      <xdr:rowOff>52307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EF18F0-9285-41BD-A9AD-9BA5DAA5B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" y="160020"/>
          <a:ext cx="1408980" cy="7000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35944</xdr:colOff>
      <xdr:row>1</xdr:row>
      <xdr:rowOff>14377</xdr:rowOff>
    </xdr:from>
    <xdr:to>
      <xdr:col>1</xdr:col>
      <xdr:colOff>1358660</xdr:colOff>
      <xdr:row>4</xdr:row>
      <xdr:rowOff>88969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F7C267-5465-E37A-72BE-0AC0AB24B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340" y="194094"/>
          <a:ext cx="1322716" cy="7000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6</xdr:row>
      <xdr:rowOff>160020</xdr:rowOff>
    </xdr:from>
    <xdr:to>
      <xdr:col>10</xdr:col>
      <xdr:colOff>175260</xdr:colOff>
      <xdr:row>24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F84C17-E5CA-4CE9-B6E3-943F155BD0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AFF0276-CA5C-4EF2-8C04-D59976955E1B}">
  <we:reference id="wa200003696" version="1.3.0.0" store="en-US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s://www.screener.in/excel/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in.investing.com/rates-bonds/india-10-year-bond-yield" TargetMode="External"/><Relationship Id="rId3" Type="http://schemas.openxmlformats.org/officeDocument/2006/relationships/hyperlink" Target="https://finance.yahoo.com/quote/HAVELLS.BO/history/?period1=1711065600&amp;period2=1774137600&amp;frequency=1wk" TargetMode="External"/><Relationship Id="rId7" Type="http://schemas.openxmlformats.org/officeDocument/2006/relationships/hyperlink" Target="https://primeinvestor.in/nifty-50-returns/" TargetMode="External"/><Relationship Id="rId2" Type="http://schemas.openxmlformats.org/officeDocument/2006/relationships/hyperlink" Target="https://finance.yahoo.com/quote/066575.KS/history/?frequency=1wk&amp;period1=1711065600&amp;period2=1774137600" TargetMode="External"/><Relationship Id="rId1" Type="http://schemas.openxmlformats.org/officeDocument/2006/relationships/hyperlink" Target="https://finance.yahoo.com/quote/BERGEPAINT.BO/history/?frequency=1wk&amp;period1=1711065600&amp;period2=1774137600" TargetMode="External"/><Relationship Id="rId6" Type="http://schemas.openxmlformats.org/officeDocument/2006/relationships/hyperlink" Target="https://finance.yahoo.com/quote/ASIANPAINT.BO/history/?period1=1711065600&amp;period2=1774137600&amp;frequency=1wk" TargetMode="External"/><Relationship Id="rId11" Type="http://schemas.openxmlformats.org/officeDocument/2006/relationships/printerSettings" Target="../printerSettings/printerSettings20.bin"/><Relationship Id="rId5" Type="http://schemas.openxmlformats.org/officeDocument/2006/relationships/hyperlink" Target="https://finance.yahoo.com/quote/%5EDJI/history/?frequency=1wk&amp;period1=1711065600&amp;period2=1774137600" TargetMode="External"/><Relationship Id="rId10" Type="http://schemas.openxmlformats.org/officeDocument/2006/relationships/hyperlink" Target="https://www.topstockresearch.com/rt/Stock/NIFTY/BirdsEyeView" TargetMode="External"/><Relationship Id="rId4" Type="http://schemas.openxmlformats.org/officeDocument/2006/relationships/hyperlink" Target="https://finance.yahoo.com/quote/DIXON.NS/history/?period1=1711065600&amp;period2=1774137600&amp;frequency=1wk" TargetMode="External"/><Relationship Id="rId9" Type="http://schemas.openxmlformats.org/officeDocument/2006/relationships/hyperlink" Target="https://www.topstockresearch.com/rt/Stock/BERGEPAINT/BetaAndVolatil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76EAA-1E25-4C36-936B-B09BE82293B6}">
  <sheetPr>
    <tabColor rgb="FF002060"/>
  </sheetPr>
  <dimension ref="A1"/>
  <sheetViews>
    <sheetView topLeftCell="N11" workbookViewId="0">
      <selection activeCell="D27" sqref="D27"/>
    </sheetView>
  </sheetViews>
  <sheetFormatPr defaultRowHeight="14.4" x14ac:dyDescent="0.3"/>
  <sheetData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8F92E-028F-4F0C-8FCD-FCB4E5170C67}">
  <dimension ref="B2:M47"/>
  <sheetViews>
    <sheetView showGridLines="0" topLeftCell="A10" zoomScale="109" zoomScaleNormal="102" workbookViewId="0">
      <selection activeCell="N38" sqref="N38"/>
    </sheetView>
  </sheetViews>
  <sheetFormatPr defaultRowHeight="14.4" x14ac:dyDescent="0.3"/>
  <cols>
    <col min="1" max="1" width="1.88671875" customWidth="1"/>
    <col min="5" max="5" width="12.21875" bestFit="1" customWidth="1"/>
    <col min="6" max="6" width="9.44140625" bestFit="1" customWidth="1"/>
    <col min="7" max="7" width="10" customWidth="1"/>
    <col min="8" max="8" width="10.44140625" customWidth="1"/>
    <col min="9" max="9" width="9.88671875" customWidth="1"/>
    <col min="10" max="10" width="10.44140625" bestFit="1" customWidth="1"/>
    <col min="11" max="11" width="10" customWidth="1"/>
    <col min="12" max="12" width="9.88671875" customWidth="1"/>
    <col min="14" max="19" width="10.21875" customWidth="1"/>
  </cols>
  <sheetData>
    <row r="2" spans="2:12" ht="14.4" customHeight="1" x14ac:dyDescent="0.3">
      <c r="B2" s="235" t="str">
        <f>"DCF Vatuation - "&amp;'Data Sheet'!B1</f>
        <v>DCF Vatuation - ASIAN PAINTS LTD</v>
      </c>
      <c r="C2" s="235"/>
      <c r="D2" s="235"/>
      <c r="E2" s="235"/>
      <c r="F2" s="235"/>
      <c r="G2" s="235"/>
      <c r="H2" s="235"/>
      <c r="I2" s="235"/>
      <c r="J2" s="235"/>
      <c r="K2" s="235"/>
      <c r="L2" s="235"/>
    </row>
    <row r="3" spans="2:12" ht="14.4" customHeight="1" x14ac:dyDescent="0.3"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</row>
    <row r="4" spans="2:12" ht="14.4" customHeight="1" x14ac:dyDescent="0.3">
      <c r="B4" s="235"/>
      <c r="C4" s="235"/>
      <c r="D4" s="235"/>
      <c r="E4" s="235"/>
      <c r="F4" s="235"/>
      <c r="G4" s="235"/>
      <c r="H4" s="235"/>
      <c r="I4" s="235"/>
      <c r="J4" s="235"/>
      <c r="K4" s="235"/>
      <c r="L4" s="235"/>
    </row>
    <row r="7" spans="2:12" x14ac:dyDescent="0.3">
      <c r="B7" s="11" t="s">
        <v>305</v>
      </c>
      <c r="C7" s="61"/>
      <c r="D7" s="61"/>
      <c r="E7" s="61"/>
      <c r="F7" s="155">
        <f>'Raw FS'!N2</f>
        <v>45717</v>
      </c>
      <c r="G7" s="156">
        <f>F7+366</f>
        <v>46083</v>
      </c>
      <c r="H7" s="156">
        <f>G7+366</f>
        <v>46449</v>
      </c>
      <c r="I7" s="156">
        <f>H7+366</f>
        <v>46815</v>
      </c>
      <c r="J7" s="156">
        <f>I7+366</f>
        <v>47181</v>
      </c>
      <c r="K7" s="156">
        <f>J7+366</f>
        <v>47547</v>
      </c>
      <c r="L7" s="156"/>
    </row>
    <row r="9" spans="2:12" x14ac:dyDescent="0.3">
      <c r="B9" s="122" t="s">
        <v>289</v>
      </c>
      <c r="C9" s="122"/>
      <c r="D9" s="122"/>
      <c r="E9" s="122"/>
      <c r="F9" s="172">
        <f>'Data Sheet'!K33-'Data Sheet'!K26</f>
        <v>5287.6100000000006</v>
      </c>
      <c r="G9" s="172">
        <f>F9*(1+$E$19)</f>
        <v>6535.7563283432091</v>
      </c>
      <c r="H9" s="172">
        <f>G9*(1+$E$19)</f>
        <v>8078.5290109290027</v>
      </c>
      <c r="I9" s="172">
        <f>H9*(1+$E$19)</f>
        <v>9985.4749323197884</v>
      </c>
      <c r="J9" s="172">
        <f>I9*(1+$E$19)</f>
        <v>12342.55759793584</v>
      </c>
      <c r="K9" s="172">
        <f>J9*(1+$E$19)</f>
        <v>15256.032295999463</v>
      </c>
      <c r="L9" s="202" t="s">
        <v>358</v>
      </c>
    </row>
    <row r="10" spans="2:12" x14ac:dyDescent="0.3">
      <c r="B10" s="122" t="s">
        <v>223</v>
      </c>
      <c r="C10" s="122"/>
      <c r="D10" s="122"/>
      <c r="E10" s="122"/>
      <c r="F10" s="160">
        <v>0.25</v>
      </c>
      <c r="G10" s="153">
        <f>F10</f>
        <v>0.25</v>
      </c>
      <c r="H10" s="153">
        <f>G10</f>
        <v>0.25</v>
      </c>
      <c r="I10" s="153">
        <f>H10</f>
        <v>0.25</v>
      </c>
      <c r="J10" s="153">
        <f>I10</f>
        <v>0.25</v>
      </c>
      <c r="K10" s="153">
        <f>J10</f>
        <v>0.25</v>
      </c>
      <c r="L10" s="203" t="s">
        <v>358</v>
      </c>
    </row>
    <row r="11" spans="2:12" x14ac:dyDescent="0.3">
      <c r="B11" s="122" t="s">
        <v>306</v>
      </c>
      <c r="C11" s="122"/>
      <c r="D11" s="122"/>
      <c r="E11" s="122"/>
      <c r="F11" s="169">
        <f t="shared" ref="F11:K11" si="0">F9*(1-F10)</f>
        <v>3965.7075000000004</v>
      </c>
      <c r="G11" s="169">
        <f t="shared" si="0"/>
        <v>4901.8172462574066</v>
      </c>
      <c r="H11" s="169">
        <f t="shared" si="0"/>
        <v>6058.8967581967518</v>
      </c>
      <c r="I11" s="169">
        <f t="shared" si="0"/>
        <v>7489.1061992398409</v>
      </c>
      <c r="J11" s="169">
        <f t="shared" si="0"/>
        <v>9256.91819845188</v>
      </c>
      <c r="K11" s="169">
        <f t="shared" si="0"/>
        <v>11442.024221999596</v>
      </c>
      <c r="L11" s="204" t="s">
        <v>358</v>
      </c>
    </row>
    <row r="12" spans="2:12" x14ac:dyDescent="0.3">
      <c r="B12" s="122" t="s">
        <v>307</v>
      </c>
      <c r="C12" s="122"/>
      <c r="D12" s="122"/>
      <c r="E12" s="122"/>
      <c r="F12" s="161">
        <f>'Intrisic Growth'!K55</f>
        <v>0.48354675925275131</v>
      </c>
      <c r="G12" s="153">
        <f>F12+(($K$12-F12))/4</f>
        <v>0.49021042642727086</v>
      </c>
      <c r="H12" s="153">
        <f>G12+(($K$12-G12))/4</f>
        <v>0.49520817680816054</v>
      </c>
      <c r="I12" s="153">
        <f>H12+(($K$12-H12))/4</f>
        <v>0.49895648959382777</v>
      </c>
      <c r="J12" s="153">
        <f>I12+(($K$12-I12))/4</f>
        <v>0.50176772418307825</v>
      </c>
      <c r="K12" s="191">
        <f>'Intrisic Growth'!K58</f>
        <v>0.51020142795082957</v>
      </c>
      <c r="L12" s="205" t="s">
        <v>358</v>
      </c>
    </row>
    <row r="13" spans="2:12" x14ac:dyDescent="0.3">
      <c r="B13" s="122" t="s">
        <v>308</v>
      </c>
      <c r="C13" s="122"/>
      <c r="D13" s="122"/>
      <c r="E13" s="122"/>
      <c r="F13" s="169">
        <f t="shared" ref="F13:K13" si="1">F11*(1-F12)</f>
        <v>2048.1024902306699</v>
      </c>
      <c r="G13" s="169">
        <f t="shared" si="1"/>
        <v>2498.8953237010128</v>
      </c>
      <c r="H13" s="169">
        <f t="shared" si="1"/>
        <v>3058.4815411012642</v>
      </c>
      <c r="I13" s="169">
        <f t="shared" si="1"/>
        <v>3752.368059871756</v>
      </c>
      <c r="J13" s="169">
        <f t="shared" si="1"/>
        <v>4612.0954210657592</v>
      </c>
      <c r="K13" s="169">
        <f t="shared" si="1"/>
        <v>5604.2871252874229</v>
      </c>
      <c r="L13" s="204" t="s">
        <v>358</v>
      </c>
    </row>
    <row r="14" spans="2:12" x14ac:dyDescent="0.3">
      <c r="B14" s="122" t="s">
        <v>310</v>
      </c>
      <c r="C14" s="122"/>
      <c r="D14" s="122"/>
      <c r="E14" s="122"/>
      <c r="F14" s="122"/>
      <c r="G14" s="122">
        <v>0.5</v>
      </c>
      <c r="H14" s="122">
        <f>G14+1</f>
        <v>1.5</v>
      </c>
      <c r="I14" s="122">
        <f>H14+1</f>
        <v>2.5</v>
      </c>
      <c r="J14" s="122">
        <f>I14+1</f>
        <v>3.5</v>
      </c>
      <c r="K14" s="122">
        <f>J14+1</f>
        <v>4.5</v>
      </c>
      <c r="L14" s="206" t="s">
        <v>358</v>
      </c>
    </row>
    <row r="15" spans="2:12" x14ac:dyDescent="0.3">
      <c r="B15" s="122" t="s">
        <v>311</v>
      </c>
      <c r="C15" s="122"/>
      <c r="D15" s="122"/>
      <c r="E15" s="122"/>
      <c r="F15" s="122"/>
      <c r="G15" s="163">
        <f>1/(1+$E$21)^G14</f>
        <v>0.94512153705645563</v>
      </c>
      <c r="H15" s="163">
        <f>1/(1+$E$21)^H14</f>
        <v>0.84423427376783011</v>
      </c>
      <c r="I15" s="163">
        <f>1/(1+$E$21)^I14</f>
        <v>0.75411624966675717</v>
      </c>
      <c r="J15" s="163">
        <f>1/(1+$E$21)^J14</f>
        <v>0.67361789929870663</v>
      </c>
      <c r="K15" s="163">
        <f>1/(1+$E$21)^K14</f>
        <v>0.60171236789569094</v>
      </c>
      <c r="L15" s="207" t="s">
        <v>358</v>
      </c>
    </row>
    <row r="16" spans="2:12" x14ac:dyDescent="0.3">
      <c r="F16" s="122"/>
      <c r="L16" s="200" t="s">
        <v>358</v>
      </c>
    </row>
    <row r="17" spans="2:13" ht="15" thickBot="1" x14ac:dyDescent="0.35">
      <c r="B17" s="138" t="s">
        <v>312</v>
      </c>
      <c r="C17" s="138"/>
      <c r="D17" s="138"/>
      <c r="E17" s="138"/>
      <c r="F17" s="138"/>
      <c r="G17" s="171">
        <f>G13*G15</f>
        <v>2361.7597892794906</v>
      </c>
      <c r="H17" s="171">
        <f>H13*H15</f>
        <v>2582.0749426839398</v>
      </c>
      <c r="I17" s="171">
        <f>I13*I15</f>
        <v>2829.7217286798145</v>
      </c>
      <c r="J17" s="171">
        <f>J13*J15</f>
        <v>3106.7900289035006</v>
      </c>
      <c r="K17" s="171">
        <f>K13*K15</f>
        <v>3372.1688765240301</v>
      </c>
      <c r="L17" s="208" t="s">
        <v>358</v>
      </c>
    </row>
    <row r="19" spans="2:13" x14ac:dyDescent="0.3">
      <c r="B19" s="157" t="s">
        <v>309</v>
      </c>
      <c r="C19" s="157"/>
      <c r="D19" s="157"/>
      <c r="E19" s="58">
        <f>'Intrisic Growth'!K68</f>
        <v>0.23605113242905751</v>
      </c>
    </row>
    <row r="20" spans="2:13" x14ac:dyDescent="0.3">
      <c r="B20" s="157" t="s">
        <v>326</v>
      </c>
      <c r="C20" s="157"/>
      <c r="D20" s="157"/>
      <c r="E20" s="58">
        <v>0.04</v>
      </c>
    </row>
    <row r="21" spans="2:13" x14ac:dyDescent="0.3">
      <c r="B21" s="157" t="s">
        <v>246</v>
      </c>
      <c r="C21" s="157"/>
      <c r="D21" s="157"/>
      <c r="E21" s="164">
        <f>'WACC(Geometric)'!J46</f>
        <v>0.11950150144741731</v>
      </c>
    </row>
    <row r="23" spans="2:13" x14ac:dyDescent="0.3">
      <c r="B23" s="11" t="s">
        <v>316</v>
      </c>
      <c r="C23" s="61"/>
      <c r="D23" s="61"/>
      <c r="E23" s="61"/>
    </row>
    <row r="25" spans="2:13" x14ac:dyDescent="0.3">
      <c r="B25" t="s">
        <v>313</v>
      </c>
      <c r="E25" s="169">
        <f>K13*(1+E19)</f>
        <v>6927.185447669106</v>
      </c>
      <c r="M25" s="197"/>
    </row>
    <row r="26" spans="2:13" x14ac:dyDescent="0.3">
      <c r="B26" t="s">
        <v>246</v>
      </c>
      <c r="E26" s="17">
        <f>E21</f>
        <v>0.11950150144741731</v>
      </c>
      <c r="M26" s="198"/>
    </row>
    <row r="27" spans="2:13" x14ac:dyDescent="0.3">
      <c r="B27" t="s">
        <v>314</v>
      </c>
      <c r="E27" s="17">
        <f>E20</f>
        <v>0.04</v>
      </c>
      <c r="M27" s="198"/>
    </row>
    <row r="28" spans="2:13" x14ac:dyDescent="0.3">
      <c r="M28" s="198"/>
    </row>
    <row r="29" spans="2:13" ht="15" thickBot="1" x14ac:dyDescent="0.35">
      <c r="B29" s="138" t="s">
        <v>315</v>
      </c>
      <c r="C29" s="138"/>
      <c r="D29" s="138"/>
      <c r="E29" s="171">
        <f>E25/(E26-E27)</f>
        <v>87132.762546010301</v>
      </c>
      <c r="M29" s="198"/>
    </row>
    <row r="30" spans="2:13" x14ac:dyDescent="0.3">
      <c r="M30" s="198"/>
    </row>
    <row r="31" spans="2:13" x14ac:dyDescent="0.3">
      <c r="B31" s="11" t="s">
        <v>317</v>
      </c>
      <c r="C31" s="61"/>
      <c r="D31" s="61"/>
      <c r="E31" s="61"/>
      <c r="G31" s="236" t="s">
        <v>334</v>
      </c>
      <c r="H31" s="236"/>
      <c r="I31" s="236"/>
      <c r="J31" s="236"/>
      <c r="K31" s="236"/>
      <c r="L31" s="236"/>
      <c r="M31" s="198"/>
    </row>
    <row r="32" spans="2:13" x14ac:dyDescent="0.3">
      <c r="M32" s="198"/>
    </row>
    <row r="33" spans="2:13" x14ac:dyDescent="0.3">
      <c r="B33" t="s">
        <v>312</v>
      </c>
      <c r="E33" s="169">
        <f>SUM(G17:K17)</f>
        <v>14252.515366070777</v>
      </c>
      <c r="G33" s="196">
        <f>E35</f>
        <v>101385.27791208107</v>
      </c>
      <c r="H33" s="197">
        <v>0.105</v>
      </c>
      <c r="I33" s="197">
        <v>0.11</v>
      </c>
      <c r="J33" s="197">
        <v>0.115</v>
      </c>
      <c r="K33" s="197">
        <v>0.1195</v>
      </c>
      <c r="L33" s="197">
        <v>0.125</v>
      </c>
      <c r="M33" s="198"/>
    </row>
    <row r="34" spans="2:13" x14ac:dyDescent="0.3">
      <c r="B34" t="s">
        <v>315</v>
      </c>
      <c r="E34" s="169">
        <f>E29</f>
        <v>87132.762546010301</v>
      </c>
      <c r="G34" s="175">
        <v>3.5000000000000003E-2</v>
      </c>
      <c r="H34" s="198">
        <f t="dataTable" ref="H34:L38" dt2D="1" dtr="1" r1="E26" r2="E27"/>
        <v>113212.30747562944</v>
      </c>
      <c r="I34" s="198">
        <v>106614.98800165886</v>
      </c>
      <c r="J34" s="198">
        <v>100842.3334619346</v>
      </c>
      <c r="K34" s="198">
        <v>96231.041373989196</v>
      </c>
      <c r="L34" s="198">
        <v>91221.242562394182</v>
      </c>
    </row>
    <row r="35" spans="2:13" x14ac:dyDescent="0.3">
      <c r="B35" s="2" t="s">
        <v>318</v>
      </c>
      <c r="C35" s="2"/>
      <c r="D35" s="2"/>
      <c r="E35" s="170">
        <f>SUM(E33:E34)</f>
        <v>101385.27791208107</v>
      </c>
      <c r="G35" s="175">
        <v>0.04</v>
      </c>
      <c r="H35" s="198">
        <v>120824.5991763647</v>
      </c>
      <c r="I35" s="198">
        <v>113212.30747562942</v>
      </c>
      <c r="J35" s="198">
        <v>106614.98800165884</v>
      </c>
      <c r="K35" s="212">
        <v>101386.92351285199</v>
      </c>
      <c r="L35" s="198">
        <v>95748.814750413207</v>
      </c>
    </row>
    <row r="36" spans="2:13" x14ac:dyDescent="0.3">
      <c r="E36" s="165"/>
      <c r="G36" s="175">
        <v>4.3299999999999998E-2</v>
      </c>
      <c r="H36" s="198">
        <v>126524.56476103197</v>
      </c>
      <c r="I36" s="198">
        <v>118108.36915421327</v>
      </c>
      <c r="J36" s="198">
        <v>110865.98046605829</v>
      </c>
      <c r="K36" s="198">
        <v>105160.46087353937</v>
      </c>
      <c r="L36" s="198">
        <v>99040.586940968031</v>
      </c>
    </row>
    <row r="37" spans="2:13" x14ac:dyDescent="0.3">
      <c r="B37" t="s">
        <v>319</v>
      </c>
      <c r="E37" s="169">
        <f>'Data Sheet'!K69</f>
        <v>781.98</v>
      </c>
      <c r="G37" s="175">
        <v>4.4999999999999998E-2</v>
      </c>
      <c r="H37" s="198">
        <v>129705.60616055588</v>
      </c>
      <c r="I37" s="198">
        <v>120824.5991763647</v>
      </c>
      <c r="J37" s="198">
        <v>113212.30747562942</v>
      </c>
      <c r="K37" s="198">
        <v>107234.87036834065</v>
      </c>
      <c r="L37" s="198">
        <v>100842.3334619346</v>
      </c>
    </row>
    <row r="38" spans="2:13" x14ac:dyDescent="0.3">
      <c r="B38" t="s">
        <v>320</v>
      </c>
      <c r="E38" s="169">
        <f>SUM('Raw FS'!N7:N8)</f>
        <v>864</v>
      </c>
      <c r="G38" s="175">
        <v>0.05</v>
      </c>
      <c r="H38" s="198">
        <v>140201.34168732728</v>
      </c>
      <c r="I38" s="198">
        <v>129705.60616055588</v>
      </c>
      <c r="J38" s="198">
        <v>120824.5991763647</v>
      </c>
      <c r="K38" s="198">
        <v>113924.24842605792</v>
      </c>
      <c r="L38" s="198">
        <v>106614.98800165886</v>
      </c>
    </row>
    <row r="39" spans="2:13" x14ac:dyDescent="0.3">
      <c r="B39" s="2" t="s">
        <v>321</v>
      </c>
      <c r="E39" s="170">
        <f>E35+E37-E38</f>
        <v>101303.25791208107</v>
      </c>
      <c r="G39" s="175"/>
      <c r="H39" s="198"/>
      <c r="I39" s="198"/>
      <c r="J39" s="198"/>
      <c r="L39" s="198"/>
    </row>
    <row r="40" spans="2:13" x14ac:dyDescent="0.3">
      <c r="B40" t="s">
        <v>322</v>
      </c>
      <c r="E40" s="165">
        <f>'Data Sheet'!B6</f>
        <v>95.961576854750021</v>
      </c>
      <c r="G40" s="175"/>
      <c r="H40" s="198"/>
      <c r="I40" s="198"/>
      <c r="J40" s="198"/>
      <c r="K40" s="198"/>
      <c r="L40" s="198"/>
    </row>
    <row r="41" spans="2:13" x14ac:dyDescent="0.3">
      <c r="E41" s="165"/>
    </row>
    <row r="42" spans="2:13" ht="15" thickBot="1" x14ac:dyDescent="0.35">
      <c r="B42" s="138" t="s">
        <v>323</v>
      </c>
      <c r="C42" s="138"/>
      <c r="D42" s="138"/>
      <c r="E42" s="173">
        <f>E39/E40</f>
        <v>1055.6647903505834</v>
      </c>
    </row>
    <row r="43" spans="2:13" x14ac:dyDescent="0.3">
      <c r="E43" s="165"/>
    </row>
    <row r="44" spans="2:13" x14ac:dyDescent="0.3">
      <c r="B44" s="157" t="s">
        <v>324</v>
      </c>
      <c r="C44" s="157"/>
      <c r="D44" s="157"/>
      <c r="E44" s="192">
        <v>2207</v>
      </c>
    </row>
    <row r="45" spans="2:13" x14ac:dyDescent="0.3">
      <c r="B45" s="157" t="s">
        <v>325</v>
      </c>
      <c r="C45" s="157"/>
      <c r="D45" s="157"/>
      <c r="E45" s="193">
        <f>E44/E42</f>
        <v>2.0906257556123107</v>
      </c>
    </row>
    <row r="47" spans="2:13" x14ac:dyDescent="0.3">
      <c r="B47" s="157" t="s">
        <v>359</v>
      </c>
      <c r="C47" s="157"/>
      <c r="D47" s="157"/>
      <c r="E47" s="213">
        <f>(E44-E42)/E42</f>
        <v>1.0906257556123107</v>
      </c>
    </row>
  </sheetData>
  <mergeCells count="2">
    <mergeCell ref="B2:L4"/>
    <mergeCell ref="G31:L31"/>
  </mergeCells>
  <pageMargins left="0.44" right="1.62" top="0.75" bottom="5.67" header="0.4" footer="0.3"/>
  <pageSetup paperSize="3" orientation="portrait" r:id="rId1"/>
  <ignoredErrors>
    <ignoredError sqref="E38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3D7DE-11E2-4219-92C0-28D40DB5DEB8}">
  <sheetPr>
    <pageSetUpPr fitToPage="1"/>
  </sheetPr>
  <dimension ref="B2:J46"/>
  <sheetViews>
    <sheetView showGridLines="0" zoomScaleNormal="100" workbookViewId="0">
      <selection activeCell="M11" sqref="M11"/>
    </sheetView>
  </sheetViews>
  <sheetFormatPr defaultRowHeight="14.4" x14ac:dyDescent="0.3"/>
  <cols>
    <col min="1" max="1" width="1.88671875" customWidth="1"/>
    <col min="3" max="3" width="9.5546875" bestFit="1" customWidth="1"/>
    <col min="5" max="5" width="11.21875" bestFit="1" customWidth="1"/>
    <col min="6" max="6" width="12.5546875" customWidth="1"/>
    <col min="7" max="7" width="9.6640625" customWidth="1"/>
    <col min="10" max="10" width="10.44140625" customWidth="1"/>
    <col min="20" max="20" width="8.88671875" customWidth="1"/>
  </cols>
  <sheetData>
    <row r="2" spans="2:10" ht="14.4" customHeight="1" x14ac:dyDescent="0.3">
      <c r="B2" s="234"/>
      <c r="C2" s="234"/>
      <c r="D2" s="234"/>
      <c r="E2" s="234"/>
      <c r="F2" s="234"/>
      <c r="G2" s="234"/>
      <c r="H2" s="234"/>
      <c r="I2" s="234"/>
      <c r="J2" s="234"/>
    </row>
    <row r="3" spans="2:10" ht="20.399999999999999" customHeight="1" x14ac:dyDescent="0.3">
      <c r="B3" s="234"/>
      <c r="C3" s="234"/>
      <c r="D3" s="234"/>
      <c r="E3" s="234"/>
      <c r="F3" s="234"/>
      <c r="G3" s="234"/>
      <c r="H3" s="234"/>
      <c r="I3" s="234"/>
      <c r="J3" s="234"/>
    </row>
    <row r="4" spans="2:10" ht="14.4" customHeight="1" x14ac:dyDescent="0.3">
      <c r="B4" s="237" t="s">
        <v>414</v>
      </c>
      <c r="C4" s="237"/>
      <c r="D4" s="237"/>
      <c r="E4" s="234"/>
      <c r="F4" s="234"/>
      <c r="G4" s="234"/>
      <c r="H4" s="234"/>
      <c r="I4" s="234"/>
      <c r="J4" s="234"/>
    </row>
    <row r="5" spans="2:10" ht="14.4" customHeight="1" x14ac:dyDescent="0.3">
      <c r="B5" s="237"/>
      <c r="C5" s="237"/>
      <c r="D5" s="237"/>
      <c r="E5" s="234"/>
      <c r="F5" s="234"/>
      <c r="G5" s="234"/>
      <c r="H5" s="234"/>
      <c r="I5" s="234"/>
      <c r="J5" s="234"/>
    </row>
    <row r="6" spans="2:10" x14ac:dyDescent="0.3">
      <c r="B6" s="71"/>
      <c r="C6" s="71"/>
      <c r="D6" s="71"/>
      <c r="E6" s="71"/>
      <c r="F6" s="71"/>
      <c r="G6" s="71"/>
      <c r="H6" s="71"/>
      <c r="I6" s="71"/>
      <c r="J6" s="71"/>
    </row>
    <row r="7" spans="2:10" x14ac:dyDescent="0.3">
      <c r="B7" s="83" t="s">
        <v>415</v>
      </c>
      <c r="C7" s="83"/>
      <c r="D7" s="83"/>
      <c r="E7" s="84"/>
      <c r="F7" s="84"/>
      <c r="G7" s="84"/>
      <c r="H7" s="84"/>
      <c r="I7" s="84"/>
      <c r="J7" s="84"/>
    </row>
    <row r="8" spans="2:10" x14ac:dyDescent="0.3">
      <c r="B8" s="71"/>
      <c r="C8" s="71"/>
      <c r="D8" s="71"/>
      <c r="E8" s="71"/>
      <c r="F8" s="71"/>
      <c r="G8" s="71"/>
      <c r="H8" s="71"/>
      <c r="I8" s="71"/>
      <c r="J8" s="71"/>
    </row>
    <row r="9" spans="2:10" x14ac:dyDescent="0.3">
      <c r="B9" s="85" t="s">
        <v>199</v>
      </c>
      <c r="C9" s="71"/>
      <c r="D9" s="71"/>
      <c r="E9" s="167"/>
      <c r="F9" s="71"/>
      <c r="G9" s="71"/>
      <c r="H9" s="71"/>
      <c r="I9" s="71"/>
      <c r="J9" s="71"/>
    </row>
    <row r="10" spans="2:10" x14ac:dyDescent="0.3">
      <c r="B10" s="71"/>
      <c r="C10" s="71"/>
      <c r="D10" s="71"/>
      <c r="E10" s="71"/>
      <c r="F10" s="71"/>
      <c r="G10" s="71"/>
      <c r="H10" s="71"/>
      <c r="I10" s="71"/>
      <c r="J10" s="71"/>
    </row>
    <row r="11" spans="2:10" x14ac:dyDescent="0.3">
      <c r="B11" s="2" t="s">
        <v>200</v>
      </c>
      <c r="C11" s="71"/>
      <c r="D11" s="71"/>
      <c r="E11" s="71"/>
      <c r="F11" s="71"/>
      <c r="G11" s="71"/>
      <c r="H11" s="71"/>
      <c r="I11" s="71"/>
      <c r="J11" s="71"/>
    </row>
    <row r="12" spans="2:10" x14ac:dyDescent="0.3">
      <c r="B12" s="86"/>
      <c r="C12" s="86"/>
      <c r="D12" s="86"/>
      <c r="E12" s="86"/>
      <c r="F12" s="86"/>
      <c r="G12" s="87" t="s">
        <v>201</v>
      </c>
      <c r="H12" s="87" t="s">
        <v>202</v>
      </c>
      <c r="I12" s="87" t="s">
        <v>203</v>
      </c>
      <c r="J12" s="87" t="s">
        <v>204</v>
      </c>
    </row>
    <row r="13" spans="2:10" ht="16.2" x14ac:dyDescent="0.3">
      <c r="B13" s="88" t="s">
        <v>205</v>
      </c>
      <c r="C13" s="88" t="s">
        <v>206</v>
      </c>
      <c r="D13" s="89" t="s">
        <v>207</v>
      </c>
      <c r="E13" s="88" t="s">
        <v>208</v>
      </c>
      <c r="F13" s="209" t="s">
        <v>209</v>
      </c>
      <c r="G13" s="89" t="s">
        <v>210</v>
      </c>
      <c r="H13" s="89" t="s">
        <v>211</v>
      </c>
      <c r="I13" s="89" t="s">
        <v>212</v>
      </c>
      <c r="J13" s="89" t="s">
        <v>213</v>
      </c>
    </row>
    <row r="14" spans="2:10" x14ac:dyDescent="0.3">
      <c r="B14" s="71"/>
      <c r="C14" s="71"/>
      <c r="D14" s="71"/>
      <c r="E14" s="71"/>
      <c r="F14" s="90"/>
      <c r="G14" s="71"/>
      <c r="H14" s="71"/>
      <c r="I14" s="71"/>
      <c r="J14" s="71"/>
    </row>
    <row r="15" spans="2:10" x14ac:dyDescent="0.3">
      <c r="B15" s="91" t="s">
        <v>214</v>
      </c>
      <c r="C15" s="91" t="s">
        <v>215</v>
      </c>
      <c r="D15" s="92">
        <v>3557.09</v>
      </c>
      <c r="E15" s="92">
        <v>203411.79</v>
      </c>
      <c r="F15" s="93">
        <v>0.3</v>
      </c>
      <c r="G15" s="94">
        <f>D15/E15</f>
        <v>1.7487137790783907E-2</v>
      </c>
      <c r="H15" s="94">
        <f>D15/(D15+E15)</f>
        <v>1.7186593462746671E-2</v>
      </c>
      <c r="I15" s="95">
        <f>'WACC(Arithmetic)'!I15</f>
        <v>1.2350586729057969</v>
      </c>
      <c r="J15" s="95">
        <f>I15/(1+(1-F15)*G15)</f>
        <v>1.220123149756732</v>
      </c>
    </row>
    <row r="16" spans="2:10" x14ac:dyDescent="0.3">
      <c r="B16" s="91" t="s">
        <v>216</v>
      </c>
      <c r="C16" s="91" t="s">
        <v>215</v>
      </c>
      <c r="D16" s="92">
        <v>697.33</v>
      </c>
      <c r="E16" s="92">
        <v>48348.31</v>
      </c>
      <c r="F16" s="93">
        <v>0.3</v>
      </c>
      <c r="G16" s="94">
        <f>D16/E16</f>
        <v>1.4423048085858639E-2</v>
      </c>
      <c r="H16" s="94">
        <f>D16/(D16+E16)</f>
        <v>1.4217981455640094E-2</v>
      </c>
      <c r="I16" s="95">
        <f>'WACC(Arithmetic)'!I16</f>
        <v>1.1107726119811296</v>
      </c>
      <c r="J16" s="95">
        <f>I16/(1+(1-F16)*G16)</f>
        <v>1.099670194713275</v>
      </c>
    </row>
    <row r="17" spans="2:10" x14ac:dyDescent="0.3">
      <c r="B17" s="91" t="s">
        <v>335</v>
      </c>
      <c r="C17" s="91" t="s">
        <v>215</v>
      </c>
      <c r="D17" s="92">
        <v>275.42</v>
      </c>
      <c r="E17" s="92">
        <v>13787.62</v>
      </c>
      <c r="F17" s="93">
        <v>0.3</v>
      </c>
      <c r="G17" s="94">
        <f>D17/E17</f>
        <v>1.9975891415632285E-2</v>
      </c>
      <c r="H17" s="94">
        <f>D17/(D17+E17)</f>
        <v>1.958467017088766E-2</v>
      </c>
      <c r="I17" s="95">
        <f>'WACC(Arithmetic)'!I17</f>
        <v>0.92242955435486862</v>
      </c>
      <c r="J17" s="95">
        <f>I17/(1+(1-F17)*G17)</f>
        <v>0.90970898087955565</v>
      </c>
    </row>
    <row r="18" spans="2:10" x14ac:dyDescent="0.3">
      <c r="B18" s="91" t="s">
        <v>336</v>
      </c>
      <c r="C18" s="91" t="s">
        <v>215</v>
      </c>
      <c r="D18" s="92">
        <v>17.2</v>
      </c>
      <c r="E18" s="92">
        <v>3484.14</v>
      </c>
      <c r="F18" s="93">
        <v>0.3</v>
      </c>
      <c r="G18" s="94">
        <f>D18/E18</f>
        <v>4.9366558175044633E-3</v>
      </c>
      <c r="H18" s="94">
        <f>D18/(D18+E18)</f>
        <v>4.9124049649562742E-3</v>
      </c>
      <c r="I18" s="95">
        <f>'WACC(Arithmetic)'!I18</f>
        <v>1.051396674423547</v>
      </c>
      <c r="J18" s="95">
        <f>I18/(1+(1-F18)*G18)</f>
        <v>1.0477759180665918</v>
      </c>
    </row>
    <row r="19" spans="2:10" x14ac:dyDescent="0.3">
      <c r="B19" s="71"/>
      <c r="C19" s="71"/>
      <c r="D19" s="71"/>
      <c r="E19" s="71"/>
      <c r="F19" s="71"/>
      <c r="G19" s="71"/>
      <c r="H19" s="71"/>
      <c r="I19" s="71"/>
      <c r="J19" s="71"/>
    </row>
    <row r="20" spans="2:10" x14ac:dyDescent="0.3">
      <c r="B20" s="71"/>
      <c r="C20" s="71"/>
      <c r="D20" s="71"/>
      <c r="E20" s="96" t="s">
        <v>217</v>
      </c>
      <c r="F20" s="97">
        <f>AVERAGE(F15:F18)</f>
        <v>0.3</v>
      </c>
      <c r="G20" s="98">
        <f>AVERAGE(G16:G18)</f>
        <v>1.3111865106331796E-2</v>
      </c>
      <c r="H20" s="98">
        <f>AVERAGE(H15:H18)</f>
        <v>1.3975412513557675E-2</v>
      </c>
      <c r="I20" s="99">
        <f>AVERAGE(I16:I18)</f>
        <v>1.028199613586515</v>
      </c>
      <c r="J20" s="99">
        <f>AVERAGE(J16:J18)</f>
        <v>1.0190516978864741</v>
      </c>
    </row>
    <row r="21" spans="2:10" x14ac:dyDescent="0.3">
      <c r="B21" s="71"/>
      <c r="C21" s="71"/>
      <c r="D21" s="71"/>
      <c r="E21" s="100" t="s">
        <v>218</v>
      </c>
      <c r="F21" s="101">
        <f>MEDIAN(F15:F18)</f>
        <v>0.3</v>
      </c>
      <c r="G21" s="102">
        <f>MEDIAN(G15:G18)</f>
        <v>1.5955092938321272E-2</v>
      </c>
      <c r="H21" s="102">
        <f>MEDIAN(H15:H18)</f>
        <v>1.5702287459193384E-2</v>
      </c>
      <c r="I21" s="103">
        <f>MEDIAN(I15:I18)</f>
        <v>1.0810846432023382</v>
      </c>
      <c r="J21" s="118">
        <f>MEDIAN(J15:J18)</f>
        <v>1.0737230563899334</v>
      </c>
    </row>
    <row r="22" spans="2:10" x14ac:dyDescent="0.3">
      <c r="B22" s="71"/>
      <c r="C22" s="71"/>
      <c r="D22" s="71"/>
      <c r="E22" s="71"/>
      <c r="F22" s="71"/>
      <c r="G22" s="71"/>
      <c r="H22" s="71"/>
      <c r="I22" s="71"/>
      <c r="J22" s="71"/>
    </row>
    <row r="23" spans="2:10" x14ac:dyDescent="0.3">
      <c r="B23" s="71"/>
      <c r="C23" s="71"/>
      <c r="D23" s="71"/>
      <c r="E23" s="71"/>
      <c r="F23" s="71"/>
      <c r="G23" s="71"/>
      <c r="H23" s="71"/>
      <c r="I23" s="71"/>
      <c r="J23" s="71"/>
    </row>
    <row r="24" spans="2:10" x14ac:dyDescent="0.3">
      <c r="B24" s="100" t="s">
        <v>219</v>
      </c>
      <c r="C24" s="88"/>
      <c r="D24" s="88"/>
      <c r="E24" s="88"/>
      <c r="F24" s="71"/>
      <c r="G24" s="100" t="s">
        <v>220</v>
      </c>
      <c r="H24" s="88"/>
      <c r="I24" s="88"/>
      <c r="J24" s="88"/>
    </row>
    <row r="25" spans="2:10" x14ac:dyDescent="0.3">
      <c r="B25" s="71"/>
      <c r="C25" s="71"/>
      <c r="D25" s="71"/>
      <c r="E25" s="71"/>
      <c r="F25" s="71"/>
      <c r="G25" s="71"/>
      <c r="H25" s="71"/>
      <c r="I25" s="71"/>
      <c r="J25" s="71"/>
    </row>
    <row r="26" spans="2:10" x14ac:dyDescent="0.3">
      <c r="B26" s="71" t="s">
        <v>221</v>
      </c>
      <c r="C26" s="71"/>
      <c r="D26" s="71"/>
      <c r="E26" s="77">
        <f>227/3557.09</f>
        <v>6.3816209317166556E-2</v>
      </c>
      <c r="F26" s="71"/>
      <c r="G26" s="71" t="s">
        <v>222</v>
      </c>
      <c r="H26" s="71"/>
      <c r="I26" s="71"/>
      <c r="J26" s="104">
        <v>6.8400000000000002E-2</v>
      </c>
    </row>
    <row r="27" spans="2:10" x14ac:dyDescent="0.3">
      <c r="B27" s="71" t="s">
        <v>223</v>
      </c>
      <c r="C27" s="71"/>
      <c r="D27" s="71"/>
      <c r="E27" s="104">
        <f>F15</f>
        <v>0.3</v>
      </c>
      <c r="F27" s="71"/>
      <c r="G27" s="71" t="s">
        <v>224</v>
      </c>
      <c r="H27" s="71"/>
      <c r="I27" s="71"/>
      <c r="J27" s="105">
        <f>'Market Return'!F8-'WACC(Geometric)'!J26</f>
        <v>4.8103341434880612E-2</v>
      </c>
    </row>
    <row r="28" spans="2:10" ht="16.2" x14ac:dyDescent="0.3">
      <c r="B28" s="106" t="s">
        <v>225</v>
      </c>
      <c r="C28" s="106"/>
      <c r="D28" s="106"/>
      <c r="E28" s="107">
        <f>E26*(1-E27)</f>
        <v>4.4671346522016583E-2</v>
      </c>
      <c r="F28" s="71"/>
      <c r="G28" s="71" t="s">
        <v>226</v>
      </c>
      <c r="H28" s="71"/>
      <c r="I28" s="71"/>
      <c r="J28" s="74">
        <f>J36</f>
        <v>1.0843759406893339</v>
      </c>
    </row>
    <row r="29" spans="2:10" x14ac:dyDescent="0.3">
      <c r="B29" s="71"/>
      <c r="C29" s="71"/>
      <c r="D29" s="71"/>
      <c r="E29" s="71"/>
      <c r="F29" s="71"/>
      <c r="G29" s="106" t="s">
        <v>220</v>
      </c>
      <c r="H29" s="106"/>
      <c r="I29" s="106"/>
      <c r="J29" s="108">
        <f>J26+J27*J28</f>
        <v>0.12056210611874887</v>
      </c>
    </row>
    <row r="30" spans="2:10" x14ac:dyDescent="0.3">
      <c r="B30" s="71"/>
      <c r="C30" s="71"/>
      <c r="D30" s="71"/>
      <c r="E30" s="71"/>
      <c r="F30" s="71"/>
      <c r="G30" s="71"/>
      <c r="H30" s="71"/>
      <c r="I30" s="71"/>
      <c r="J30" s="71"/>
    </row>
    <row r="31" spans="2:10" x14ac:dyDescent="0.3">
      <c r="B31" s="100" t="s">
        <v>227</v>
      </c>
      <c r="C31" s="88"/>
      <c r="D31" s="88"/>
      <c r="E31" s="88"/>
      <c r="F31" s="71"/>
      <c r="G31" s="100" t="s">
        <v>228</v>
      </c>
      <c r="H31" s="88"/>
      <c r="I31" s="88"/>
      <c r="J31" s="88"/>
    </row>
    <row r="32" spans="2:10" x14ac:dyDescent="0.3">
      <c r="B32" s="71"/>
      <c r="C32" s="71"/>
      <c r="D32" s="71"/>
      <c r="E32" s="71"/>
      <c r="F32" s="71"/>
      <c r="G32" s="71"/>
      <c r="H32" s="71"/>
      <c r="I32" s="71"/>
      <c r="J32" s="71"/>
    </row>
    <row r="33" spans="2:10" x14ac:dyDescent="0.3">
      <c r="B33" s="71"/>
      <c r="C33" s="71"/>
      <c r="D33" s="109" t="s">
        <v>229</v>
      </c>
      <c r="E33" s="109" t="s">
        <v>230</v>
      </c>
      <c r="F33" s="71"/>
      <c r="G33" s="71" t="s">
        <v>231</v>
      </c>
      <c r="H33" s="71"/>
      <c r="I33" s="71"/>
      <c r="J33" s="95">
        <f>J21</f>
        <v>1.0737230563899334</v>
      </c>
    </row>
    <row r="34" spans="2:10" x14ac:dyDescent="0.3">
      <c r="B34" s="71" t="s">
        <v>207</v>
      </c>
      <c r="C34" s="110">
        <f>D15</f>
        <v>3557.09</v>
      </c>
      <c r="D34" s="81">
        <f>C34/C36</f>
        <v>1.7186593462746671E-2</v>
      </c>
      <c r="E34" s="81">
        <f>H20</f>
        <v>1.3975412513557675E-2</v>
      </c>
      <c r="F34" s="71"/>
      <c r="G34" s="71" t="s">
        <v>232</v>
      </c>
      <c r="H34" s="71"/>
      <c r="I34" s="71"/>
      <c r="J34" s="77">
        <f>E38</f>
        <v>1.4173492923927554E-2</v>
      </c>
    </row>
    <row r="35" spans="2:10" x14ac:dyDescent="0.3">
      <c r="B35" s="71" t="s">
        <v>233</v>
      </c>
      <c r="C35" s="110">
        <f>E15</f>
        <v>203411.79</v>
      </c>
      <c r="D35" s="81">
        <f>C35/C36</f>
        <v>0.98281340653725335</v>
      </c>
      <c r="E35" s="77">
        <f>E36-E34</f>
        <v>0.98602458748644228</v>
      </c>
      <c r="F35" s="71"/>
      <c r="G35" s="71" t="s">
        <v>223</v>
      </c>
      <c r="H35" s="71"/>
      <c r="I35" s="71"/>
      <c r="J35" s="77">
        <f>E27</f>
        <v>0.3</v>
      </c>
    </row>
    <row r="36" spans="2:10" x14ac:dyDescent="0.3">
      <c r="B36" s="106" t="s">
        <v>234</v>
      </c>
      <c r="C36" s="111">
        <f>SUM(C34:C35)</f>
        <v>206968.88</v>
      </c>
      <c r="D36" s="108">
        <f>SUM(D34:D35)</f>
        <v>1</v>
      </c>
      <c r="E36" s="107">
        <f>D36</f>
        <v>1</v>
      </c>
      <c r="F36" s="71"/>
      <c r="G36" s="106" t="s">
        <v>228</v>
      </c>
      <c r="H36" s="106"/>
      <c r="I36" s="106"/>
      <c r="J36" s="112">
        <f>J33*(1+(1-J35)*J34)</f>
        <v>1.0843759406893339</v>
      </c>
    </row>
    <row r="37" spans="2:10" x14ac:dyDescent="0.3">
      <c r="B37" s="71"/>
      <c r="C37" s="71"/>
      <c r="D37" s="71"/>
      <c r="E37" s="71"/>
      <c r="F37" s="71"/>
      <c r="G37" s="71"/>
      <c r="H37" s="71"/>
      <c r="I37" s="71"/>
      <c r="J37" s="71"/>
    </row>
    <row r="38" spans="2:10" x14ac:dyDescent="0.3">
      <c r="B38" s="71" t="s">
        <v>235</v>
      </c>
      <c r="C38" s="71"/>
      <c r="D38" s="113">
        <f>D34/D35</f>
        <v>1.7487137790783907E-2</v>
      </c>
      <c r="E38" s="113">
        <f>E34/E35</f>
        <v>1.4173492923927554E-2</v>
      </c>
      <c r="F38" s="71"/>
      <c r="G38" s="100" t="s">
        <v>236</v>
      </c>
      <c r="H38" s="88"/>
      <c r="I38" s="88"/>
      <c r="J38" s="88"/>
    </row>
    <row r="39" spans="2:10" x14ac:dyDescent="0.3">
      <c r="B39" s="71"/>
      <c r="C39" s="71"/>
      <c r="D39" s="114"/>
      <c r="E39" s="114"/>
      <c r="F39" s="71"/>
      <c r="G39" s="71"/>
      <c r="H39" s="71"/>
      <c r="I39" s="71"/>
      <c r="J39" s="71"/>
    </row>
    <row r="40" spans="2:10" x14ac:dyDescent="0.3">
      <c r="B40" s="85" t="s">
        <v>237</v>
      </c>
      <c r="C40" s="71"/>
      <c r="D40" s="71"/>
      <c r="E40" s="71"/>
      <c r="F40" s="71"/>
      <c r="G40" s="71" t="s">
        <v>238</v>
      </c>
      <c r="H40" s="71"/>
      <c r="I40" s="71"/>
      <c r="J40" s="77">
        <f>J29</f>
        <v>0.12056210611874887</v>
      </c>
    </row>
    <row r="41" spans="2:10" x14ac:dyDescent="0.3">
      <c r="B41" s="115" t="s">
        <v>239</v>
      </c>
      <c r="C41" s="115"/>
      <c r="D41" s="115"/>
      <c r="E41" s="115"/>
      <c r="F41" s="71"/>
      <c r="G41" s="71" t="s">
        <v>240</v>
      </c>
      <c r="H41" s="71"/>
      <c r="I41" s="71"/>
      <c r="J41" s="77">
        <f>E35</f>
        <v>0.98602458748644228</v>
      </c>
    </row>
    <row r="42" spans="2:10" x14ac:dyDescent="0.3">
      <c r="B42" s="115" t="s">
        <v>241</v>
      </c>
      <c r="C42" s="115"/>
      <c r="D42" s="115"/>
      <c r="E42" s="115"/>
      <c r="F42" s="71"/>
      <c r="G42" s="71"/>
      <c r="H42" s="71"/>
      <c r="I42" s="71"/>
      <c r="J42" s="71"/>
    </row>
    <row r="43" spans="2:10" x14ac:dyDescent="0.3">
      <c r="B43" s="115" t="s">
        <v>242</v>
      </c>
      <c r="C43" s="115"/>
      <c r="D43" s="115"/>
      <c r="E43" s="115"/>
      <c r="F43" s="71"/>
      <c r="G43" s="71" t="s">
        <v>243</v>
      </c>
      <c r="H43" s="71"/>
      <c r="I43" s="71"/>
      <c r="J43" s="77">
        <f>E28</f>
        <v>4.4671346522016583E-2</v>
      </c>
    </row>
    <row r="44" spans="2:10" x14ac:dyDescent="0.3">
      <c r="B44" s="115" t="s">
        <v>244</v>
      </c>
      <c r="C44" s="115"/>
      <c r="D44" s="115"/>
      <c r="E44" s="115"/>
      <c r="F44" s="71"/>
      <c r="G44" s="71" t="s">
        <v>245</v>
      </c>
      <c r="H44" s="71"/>
      <c r="I44" s="71"/>
      <c r="J44" s="77">
        <f>E34</f>
        <v>1.3975412513557675E-2</v>
      </c>
    </row>
    <row r="45" spans="2:10" x14ac:dyDescent="0.3">
      <c r="G45" s="71"/>
      <c r="H45" s="71"/>
      <c r="I45" s="71"/>
      <c r="J45" s="71"/>
    </row>
    <row r="46" spans="2:10" x14ac:dyDescent="0.3">
      <c r="G46" s="116" t="s">
        <v>246</v>
      </c>
      <c r="H46" s="116"/>
      <c r="I46" s="116"/>
      <c r="J46" s="117">
        <f>(J40*J41)+(J43*J44)</f>
        <v>0.11950150144741731</v>
      </c>
    </row>
  </sheetData>
  <mergeCells count="1">
    <mergeCell ref="B4:D5"/>
  </mergeCells>
  <pageMargins left="1" right="1" top="1" bottom="1" header="0.5" footer="0.5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18C58-09AE-4504-A5F4-A6E743474B22}">
  <sheetPr>
    <tabColor rgb="FF002060"/>
  </sheetPr>
  <dimension ref="A1"/>
  <sheetViews>
    <sheetView showGridLines="0" workbookViewId="0">
      <selection activeCell="B2" sqref="B2"/>
    </sheetView>
  </sheetViews>
  <sheetFormatPr defaultRowHeight="14.4" x14ac:dyDescent="0.3"/>
  <cols>
    <col min="1" max="1" width="1.88671875" customWidth="1"/>
  </cols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E52A6-DA6A-4691-B7F8-99FED6492D90}">
  <dimension ref="A2:W113"/>
  <sheetViews>
    <sheetView showGridLines="0" topLeftCell="A46" zoomScaleNormal="100" workbookViewId="0">
      <selection activeCell="E37" sqref="E37"/>
    </sheetView>
  </sheetViews>
  <sheetFormatPr defaultRowHeight="14.4" outlineLevelRow="1" x14ac:dyDescent="0.3"/>
  <cols>
    <col min="1" max="1" width="1.88671875" customWidth="1"/>
    <col min="2" max="2" width="26.33203125" customWidth="1"/>
    <col min="3" max="12" width="12.77734375" customWidth="1"/>
    <col min="13" max="13" width="9.33203125" hidden="1" customWidth="1"/>
    <col min="14" max="14" width="12.77734375" customWidth="1"/>
  </cols>
  <sheetData>
    <row r="2" spans="1:23" x14ac:dyDescent="0.3">
      <c r="B2" s="236" t="str">
        <f>"Historical Financial Statement - "&amp;'Data Sheet'!B1</f>
        <v>Historical Financial Statement - ASIAN PAINTS LTD</v>
      </c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</row>
    <row r="3" spans="1:23" x14ac:dyDescent="0.3">
      <c r="B3" s="11" t="s">
        <v>55</v>
      </c>
      <c r="C3" s="12">
        <f>'Data Sheet'!B16</f>
        <v>42460</v>
      </c>
      <c r="D3" s="12">
        <f>'Data Sheet'!C16</f>
        <v>42825</v>
      </c>
      <c r="E3" s="12">
        <f>'Data Sheet'!D16</f>
        <v>43190</v>
      </c>
      <c r="F3" s="12">
        <f>'Data Sheet'!E16</f>
        <v>43555</v>
      </c>
      <c r="G3" s="12">
        <f>'Data Sheet'!F16</f>
        <v>43921</v>
      </c>
      <c r="H3" s="12">
        <f>'Data Sheet'!G16</f>
        <v>44286</v>
      </c>
      <c r="I3" s="12">
        <f>'Data Sheet'!H16</f>
        <v>44651</v>
      </c>
      <c r="J3" s="12">
        <f>'Data Sheet'!I16</f>
        <v>45016</v>
      </c>
      <c r="K3" s="12">
        <f>'Data Sheet'!J16</f>
        <v>45382</v>
      </c>
      <c r="L3" s="12">
        <f>'Data Sheet'!K16</f>
        <v>45747</v>
      </c>
      <c r="M3" s="10" t="s">
        <v>56</v>
      </c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s="20" customFormat="1" x14ac:dyDescent="0.3"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5"/>
      <c r="N4" s="26"/>
      <c r="O4" s="26"/>
      <c r="P4" s="26"/>
      <c r="Q4" s="26"/>
      <c r="R4" s="26"/>
      <c r="S4" s="26"/>
      <c r="T4" s="26"/>
      <c r="U4" s="26"/>
      <c r="V4" s="26"/>
      <c r="W4" s="26"/>
    </row>
    <row r="5" spans="1:23" hidden="1" x14ac:dyDescent="0.3">
      <c r="A5" s="22" t="s">
        <v>58</v>
      </c>
      <c r="B5" s="19" t="s">
        <v>57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23" outlineLevel="1" x14ac:dyDescent="0.3">
      <c r="B6" t="s">
        <v>1</v>
      </c>
      <c r="C6" s="13">
        <f>IFERROR('Data Sheet'!B17,0)</f>
        <v>14271.49</v>
      </c>
      <c r="D6" s="13">
        <f>IFERROR('Data Sheet'!C17,0)</f>
        <v>15061.99</v>
      </c>
      <c r="E6" s="13">
        <f>IFERROR('Data Sheet'!D17,0)</f>
        <v>16824.55</v>
      </c>
      <c r="F6" s="13">
        <f>IFERROR('Data Sheet'!E17,0)</f>
        <v>19240.13</v>
      </c>
      <c r="G6" s="13">
        <f>IFERROR('Data Sheet'!F17,0)</f>
        <v>20211.25</v>
      </c>
      <c r="H6" s="13">
        <f>IFERROR('Data Sheet'!G17,0)</f>
        <v>21712.79</v>
      </c>
      <c r="I6" s="13">
        <f>IFERROR('Data Sheet'!H17,0)</f>
        <v>29101.279999999999</v>
      </c>
      <c r="J6" s="13">
        <f>IFERROR('Data Sheet'!I17,0)</f>
        <v>34488.589999999997</v>
      </c>
      <c r="K6" s="13">
        <f>IFERROR('Data Sheet'!J17,0)</f>
        <v>35494.730000000003</v>
      </c>
      <c r="L6" s="13">
        <f>IFERROR('Data Sheet'!K17,0)</f>
        <v>33905.620000000003</v>
      </c>
      <c r="M6" s="13">
        <f>IFERROR(SUM('Data Sheet'!H42:K42),0)</f>
        <v>34695.75</v>
      </c>
    </row>
    <row r="7" spans="1:23" outlineLevel="1" x14ac:dyDescent="0.3">
      <c r="B7" s="14" t="s">
        <v>10</v>
      </c>
      <c r="C7" s="14"/>
      <c r="D7" s="15">
        <f t="shared" ref="D7:M7" si="0">D6/C6-1</f>
        <v>5.5390151974320734E-2</v>
      </c>
      <c r="E7" s="15">
        <f t="shared" si="0"/>
        <v>0.11702039371955486</v>
      </c>
      <c r="F7" s="15">
        <f t="shared" si="0"/>
        <v>0.14357471670861943</v>
      </c>
      <c r="G7" s="15">
        <f t="shared" si="0"/>
        <v>5.0473671435691925E-2</v>
      </c>
      <c r="H7" s="15">
        <f t="shared" si="0"/>
        <v>7.4292287711052118E-2</v>
      </c>
      <c r="I7" s="15">
        <f t="shared" si="0"/>
        <v>0.34028284711453471</v>
      </c>
      <c r="J7" s="15">
        <f t="shared" si="0"/>
        <v>0.18512278497715551</v>
      </c>
      <c r="K7" s="15">
        <f t="shared" si="0"/>
        <v>2.9173126532572313E-2</v>
      </c>
      <c r="L7" s="15">
        <f t="shared" si="0"/>
        <v>-4.4770308155605121E-2</v>
      </c>
      <c r="M7" s="15">
        <f t="shared" si="0"/>
        <v>2.3303806271644634E-2</v>
      </c>
    </row>
    <row r="8" spans="1:23" outlineLevel="1" x14ac:dyDescent="0.3"/>
    <row r="9" spans="1:23" outlineLevel="1" x14ac:dyDescent="0.3">
      <c r="B9" t="s">
        <v>59</v>
      </c>
      <c r="C9" s="16">
        <f>IFERROR(SUM('Data Sheet'!B18,'Data Sheet'!B20:B22)-1*'Data Sheet'!B19,0)</f>
        <v>9413.8399999999983</v>
      </c>
      <c r="D9" s="16">
        <f>IFERROR(SUM('Data Sheet'!C18,'Data Sheet'!C20:C22)-1*'Data Sheet'!C19,0)</f>
        <v>9732.66</v>
      </c>
      <c r="E9" s="16">
        <f>IFERROR(SUM('Data Sheet'!D18,'Data Sheet'!D20:D22)-1*'Data Sheet'!D19,0)</f>
        <v>11194.169999999998</v>
      </c>
      <c r="F9" s="16">
        <f>IFERROR(SUM('Data Sheet'!E18,'Data Sheet'!E20:E22)-1*'Data Sheet'!E19,0)</f>
        <v>12905.81</v>
      </c>
      <c r="G9" s="16">
        <f>IFERROR(SUM('Data Sheet'!F18,'Data Sheet'!F20:F22)-1*'Data Sheet'!F19,0)</f>
        <v>13175.160000000002</v>
      </c>
      <c r="H9" s="16">
        <f>IFERROR(SUM('Data Sheet'!G18,'Data Sheet'!G20:G22)-1*'Data Sheet'!G19,0)</f>
        <v>14035.069999999998</v>
      </c>
      <c r="I9" s="16">
        <f>IFERROR(SUM('Data Sheet'!H18,'Data Sheet'!H20:H22)-1*'Data Sheet'!H19,0)</f>
        <v>20590.57</v>
      </c>
      <c r="J9" s="16">
        <f>IFERROR(SUM('Data Sheet'!I18,'Data Sheet'!I20:I22)-1*'Data Sheet'!I19,0)</f>
        <v>23766.7</v>
      </c>
      <c r="K9" s="16">
        <f>IFERROR(SUM('Data Sheet'!J18,'Data Sheet'!J20:J22)-1*'Data Sheet'!J19,0)</f>
        <v>23009.99</v>
      </c>
      <c r="L9" s="16">
        <f>IFERROR(SUM('Data Sheet'!K18,'Data Sheet'!K20:K22)-1*'Data Sheet'!K19,0)</f>
        <v>22741.27</v>
      </c>
      <c r="M9" s="16">
        <f>IFERROR(SUM('Data Sheet'!H43:K43),0)</f>
        <v>28350.240000000002</v>
      </c>
      <c r="N9" s="13"/>
      <c r="O9" s="13"/>
      <c r="P9" s="13"/>
    </row>
    <row r="10" spans="1:23" outlineLevel="1" x14ac:dyDescent="0.3">
      <c r="B10" s="14" t="s">
        <v>60</v>
      </c>
      <c r="C10" s="15">
        <f>C9/C6</f>
        <v>0.65962558919916547</v>
      </c>
      <c r="D10" s="15">
        <f t="shared" ref="D10:M10" si="1">D9/D6</f>
        <v>0.64617357998511482</v>
      </c>
      <c r="E10" s="15">
        <f t="shared" si="1"/>
        <v>0.66534736441687881</v>
      </c>
      <c r="F10" s="15">
        <f t="shared" si="1"/>
        <v>0.67077561326248825</v>
      </c>
      <c r="G10" s="15">
        <f t="shared" si="1"/>
        <v>0.65187259570783607</v>
      </c>
      <c r="H10" s="15">
        <f t="shared" si="1"/>
        <v>0.64639643270164715</v>
      </c>
      <c r="I10" s="15">
        <f t="shared" si="1"/>
        <v>0.70754860267314701</v>
      </c>
      <c r="J10" s="15">
        <f t="shared" si="1"/>
        <v>0.68911776329504926</v>
      </c>
      <c r="K10" s="15">
        <f t="shared" si="1"/>
        <v>0.64826496778535858</v>
      </c>
      <c r="L10" s="15">
        <f t="shared" si="1"/>
        <v>0.67072272974214886</v>
      </c>
      <c r="M10" s="15">
        <f t="shared" si="1"/>
        <v>0.81710987656989698</v>
      </c>
    </row>
    <row r="11" spans="1:23" outlineLevel="1" x14ac:dyDescent="0.3"/>
    <row r="12" spans="1:23" outlineLevel="1" x14ac:dyDescent="0.3">
      <c r="B12" s="27" t="s">
        <v>61</v>
      </c>
      <c r="C12" s="28">
        <f>C6-C9</f>
        <v>4857.6500000000015</v>
      </c>
      <c r="D12" s="28">
        <f t="shared" ref="D12:M12" si="2">D6-D9</f>
        <v>5329.33</v>
      </c>
      <c r="E12" s="28">
        <f t="shared" si="2"/>
        <v>5630.380000000001</v>
      </c>
      <c r="F12" s="28">
        <f t="shared" si="2"/>
        <v>6334.3200000000015</v>
      </c>
      <c r="G12" s="28">
        <f t="shared" si="2"/>
        <v>7036.0899999999983</v>
      </c>
      <c r="H12" s="28">
        <f t="shared" si="2"/>
        <v>7677.720000000003</v>
      </c>
      <c r="I12" s="28">
        <f t="shared" si="2"/>
        <v>8510.7099999999991</v>
      </c>
      <c r="J12" s="28">
        <f t="shared" si="2"/>
        <v>10721.889999999996</v>
      </c>
      <c r="K12" s="28">
        <f t="shared" si="2"/>
        <v>12484.740000000002</v>
      </c>
      <c r="L12" s="28">
        <f t="shared" si="2"/>
        <v>11164.350000000002</v>
      </c>
      <c r="M12" s="28">
        <f t="shared" si="2"/>
        <v>6345.5099999999984</v>
      </c>
    </row>
    <row r="13" spans="1:23" outlineLevel="1" x14ac:dyDescent="0.3">
      <c r="B13" s="14" t="s">
        <v>62</v>
      </c>
      <c r="C13" s="15">
        <f>C12/C6</f>
        <v>0.34037441080083447</v>
      </c>
      <c r="D13" s="15">
        <f t="shared" ref="D13:M13" si="3">D12/D6</f>
        <v>0.35382642001488518</v>
      </c>
      <c r="E13" s="15">
        <f t="shared" si="3"/>
        <v>0.33465263558312119</v>
      </c>
      <c r="F13" s="15">
        <f t="shared" si="3"/>
        <v>0.3292243867375117</v>
      </c>
      <c r="G13" s="15">
        <f t="shared" si="3"/>
        <v>0.34812740429216393</v>
      </c>
      <c r="H13" s="15">
        <f t="shared" si="3"/>
        <v>0.35360356729835285</v>
      </c>
      <c r="I13" s="15">
        <f t="shared" si="3"/>
        <v>0.29245139732685294</v>
      </c>
      <c r="J13" s="15">
        <f t="shared" si="3"/>
        <v>0.31088223670495074</v>
      </c>
      <c r="K13" s="15">
        <f t="shared" si="3"/>
        <v>0.35173503221464147</v>
      </c>
      <c r="L13" s="15">
        <f t="shared" si="3"/>
        <v>0.32927727025785108</v>
      </c>
      <c r="M13" s="15">
        <f t="shared" si="3"/>
        <v>0.18289012343010305</v>
      </c>
    </row>
    <row r="14" spans="1:23" outlineLevel="1" x14ac:dyDescent="0.3"/>
    <row r="15" spans="1:23" outlineLevel="1" x14ac:dyDescent="0.3">
      <c r="B15" t="s">
        <v>63</v>
      </c>
      <c r="C15" s="16">
        <f>IFERROR(SUM('Data Sheet'!B23:B24),0)</f>
        <v>2132.61</v>
      </c>
      <c r="D15" s="16">
        <f>IFERROR(SUM('Data Sheet'!C23:C24),0)</f>
        <v>2335.5699999999997</v>
      </c>
      <c r="E15" s="16">
        <f>IFERROR(SUM('Data Sheet'!D23:D24),0)</f>
        <v>2426.37</v>
      </c>
      <c r="F15" s="16">
        <f>IFERROR(SUM('Data Sheet'!E23:E24),0)</f>
        <v>2569.38</v>
      </c>
      <c r="G15" s="16">
        <f>IFERROR(SUM('Data Sheet'!F23:F24),0)</f>
        <v>2868.7000000000003</v>
      </c>
      <c r="H15" s="16">
        <f>IFERROR(SUM('Data Sheet'!G23:G24),0)</f>
        <v>2822.12</v>
      </c>
      <c r="I15" s="16">
        <f>IFERROR(SUM('Data Sheet'!H23:H24),0)</f>
        <v>3707.1</v>
      </c>
      <c r="J15" s="16">
        <f>IFERROR(SUM('Data Sheet'!I23:I24),0)</f>
        <v>4462.05</v>
      </c>
      <c r="K15" s="16">
        <f>IFERROR(SUM('Data Sheet'!J23:J24),0)</f>
        <v>4899.76</v>
      </c>
      <c r="L15" s="16">
        <f>IFERROR(SUM('Data Sheet'!K23:K24),0)</f>
        <v>5158.1400000000003</v>
      </c>
      <c r="M15" s="16">
        <f>IFERROR(SUM('Data Sheet'!L23:L24),0)</f>
        <v>0</v>
      </c>
    </row>
    <row r="16" spans="1:23" outlineLevel="1" x14ac:dyDescent="0.3">
      <c r="B16" s="14" t="s">
        <v>64</v>
      </c>
      <c r="C16" s="15">
        <f>C15/C6</f>
        <v>0.14943148893353111</v>
      </c>
      <c r="D16" s="15">
        <f t="shared" ref="D16:M16" si="4">D15/D6</f>
        <v>0.15506383950593511</v>
      </c>
      <c r="E16" s="15">
        <f t="shared" si="4"/>
        <v>0.14421604143944414</v>
      </c>
      <c r="F16" s="15">
        <f t="shared" si="4"/>
        <v>0.13354275672773522</v>
      </c>
      <c r="G16" s="15">
        <f t="shared" si="4"/>
        <v>0.14193580307996786</v>
      </c>
      <c r="H16" s="15">
        <f t="shared" si="4"/>
        <v>0.12997500551518251</v>
      </c>
      <c r="I16" s="15">
        <f t="shared" si="4"/>
        <v>0.1273861493377611</v>
      </c>
      <c r="J16" s="15">
        <f t="shared" si="4"/>
        <v>0.12937757095897515</v>
      </c>
      <c r="K16" s="15">
        <f t="shared" si="4"/>
        <v>0.1380419008681007</v>
      </c>
      <c r="L16" s="15">
        <f t="shared" si="4"/>
        <v>0.15213230137068723</v>
      </c>
      <c r="M16" s="15">
        <f t="shared" si="4"/>
        <v>0</v>
      </c>
    </row>
    <row r="17" spans="2:13" outlineLevel="1" x14ac:dyDescent="0.3"/>
    <row r="18" spans="2:13" outlineLevel="1" x14ac:dyDescent="0.3">
      <c r="B18" s="27" t="s">
        <v>65</v>
      </c>
      <c r="C18" s="28">
        <f>C12-C15</f>
        <v>2725.0400000000013</v>
      </c>
      <c r="D18" s="28">
        <f t="shared" ref="D18:L18" si="5">D12-D15</f>
        <v>2993.76</v>
      </c>
      <c r="E18" s="28">
        <f t="shared" si="5"/>
        <v>3204.0100000000011</v>
      </c>
      <c r="F18" s="28">
        <f t="shared" si="5"/>
        <v>3764.9400000000014</v>
      </c>
      <c r="G18" s="28">
        <f t="shared" si="5"/>
        <v>4167.3899999999976</v>
      </c>
      <c r="H18" s="28">
        <f t="shared" si="5"/>
        <v>4855.6000000000031</v>
      </c>
      <c r="I18" s="28">
        <f t="shared" si="5"/>
        <v>4803.6099999999988</v>
      </c>
      <c r="J18" s="28">
        <f t="shared" si="5"/>
        <v>6259.8399999999956</v>
      </c>
      <c r="K18" s="28">
        <f t="shared" si="5"/>
        <v>7584.9800000000014</v>
      </c>
      <c r="L18" s="28">
        <f t="shared" si="5"/>
        <v>6006.2100000000019</v>
      </c>
      <c r="M18" s="28">
        <f>IFERROR(SUM('Data Sheet'!H50:K50,'Data Sheet'!H45:K45,'Data Sheet'!H46:K46,'Data Sheet'!K46),0)</f>
        <v>7802.5199999999995</v>
      </c>
    </row>
    <row r="19" spans="2:13" outlineLevel="1" x14ac:dyDescent="0.3">
      <c r="B19" s="14" t="s">
        <v>66</v>
      </c>
      <c r="C19" s="15">
        <f>C18/C6</f>
        <v>0.19094292186730338</v>
      </c>
      <c r="D19" s="15">
        <f t="shared" ref="D19:M19" si="6">D18/D6</f>
        <v>0.19876258050895004</v>
      </c>
      <c r="E19" s="15">
        <f t="shared" si="6"/>
        <v>0.19043659414367703</v>
      </c>
      <c r="F19" s="15">
        <f t="shared" si="6"/>
        <v>0.19568163000977651</v>
      </c>
      <c r="G19" s="15">
        <f t="shared" si="6"/>
        <v>0.20619160121219607</v>
      </c>
      <c r="H19" s="15">
        <f t="shared" si="6"/>
        <v>0.22362856178317034</v>
      </c>
      <c r="I19" s="15">
        <f t="shared" si="6"/>
        <v>0.16506524798909186</v>
      </c>
      <c r="J19" s="15">
        <f t="shared" si="6"/>
        <v>0.1815046657459756</v>
      </c>
      <c r="K19" s="15">
        <f t="shared" si="6"/>
        <v>0.21369313134654075</v>
      </c>
      <c r="L19" s="15">
        <f t="shared" si="6"/>
        <v>0.17714496888716388</v>
      </c>
      <c r="M19" s="15">
        <f t="shared" si="6"/>
        <v>0.22488402758262899</v>
      </c>
    </row>
    <row r="20" spans="2:13" outlineLevel="1" x14ac:dyDescent="0.3"/>
    <row r="21" spans="2:13" outlineLevel="1" x14ac:dyDescent="0.3">
      <c r="B21" t="s">
        <v>6</v>
      </c>
      <c r="C21" s="16">
        <f>IFERROR('Data Sheet'!B27,0)</f>
        <v>49</v>
      </c>
      <c r="D21" s="16">
        <f>IFERROR('Data Sheet'!C27,0)</f>
        <v>37.33</v>
      </c>
      <c r="E21" s="16">
        <f>IFERROR('Data Sheet'!D27,0)</f>
        <v>41.47</v>
      </c>
      <c r="F21" s="16">
        <f>IFERROR('Data Sheet'!E27,0)</f>
        <v>110.47</v>
      </c>
      <c r="G21" s="16">
        <f>IFERROR('Data Sheet'!F27,0)</f>
        <v>107.95</v>
      </c>
      <c r="H21" s="16">
        <f>IFERROR('Data Sheet'!G27,0)</f>
        <v>91.63</v>
      </c>
      <c r="I21" s="16">
        <f>IFERROR('Data Sheet'!H27,0)</f>
        <v>95.41</v>
      </c>
      <c r="J21" s="16">
        <f>IFERROR('Data Sheet'!I27,0)</f>
        <v>144.44999999999999</v>
      </c>
      <c r="K21" s="16">
        <f>IFERROR('Data Sheet'!J27,0)</f>
        <v>205.17</v>
      </c>
      <c r="L21" s="16">
        <f>IFERROR('Data Sheet'!K27,0)</f>
        <v>227.02</v>
      </c>
      <c r="M21" s="16">
        <f>IFERROR(SUM('Data Sheet'!H46:K46),0)</f>
        <v>189.1</v>
      </c>
    </row>
    <row r="22" spans="2:13" outlineLevel="1" x14ac:dyDescent="0.3">
      <c r="B22" s="14" t="s">
        <v>67</v>
      </c>
      <c r="C22" s="15">
        <f>C21/C6</f>
        <v>3.4334186549547386E-3</v>
      </c>
      <c r="D22" s="15">
        <f t="shared" ref="D22:M22" si="7">D21/D6</f>
        <v>2.4784241657310885E-3</v>
      </c>
      <c r="E22" s="15">
        <f t="shared" si="7"/>
        <v>2.4648504714836358E-3</v>
      </c>
      <c r="F22" s="15">
        <f t="shared" si="7"/>
        <v>5.7416451967840128E-3</v>
      </c>
      <c r="G22" s="15">
        <f t="shared" si="7"/>
        <v>5.3410847918857075E-3</v>
      </c>
      <c r="H22" s="15">
        <f t="shared" si="7"/>
        <v>4.2200933182700148E-3</v>
      </c>
      <c r="I22" s="15">
        <f t="shared" si="7"/>
        <v>3.2785499469439143E-3</v>
      </c>
      <c r="J22" s="15">
        <f t="shared" si="7"/>
        <v>4.1883417095335005E-3</v>
      </c>
      <c r="K22" s="15">
        <f t="shared" si="7"/>
        <v>5.7802947085384216E-3</v>
      </c>
      <c r="L22" s="15">
        <f t="shared" si="7"/>
        <v>6.6956451467337858E-3</v>
      </c>
      <c r="M22" s="15">
        <f t="shared" si="7"/>
        <v>5.4502352593617373E-3</v>
      </c>
    </row>
    <row r="23" spans="2:13" outlineLevel="1" x14ac:dyDescent="0.3"/>
    <row r="24" spans="2:13" outlineLevel="1" x14ac:dyDescent="0.3">
      <c r="B24" t="s">
        <v>5</v>
      </c>
      <c r="C24" s="16">
        <f>IFERROR('Data Sheet'!B26,0)</f>
        <v>275.58</v>
      </c>
      <c r="D24" s="16">
        <f>IFERROR('Data Sheet'!C26,0)</f>
        <v>334.79</v>
      </c>
      <c r="E24" s="16">
        <f>IFERROR('Data Sheet'!D26,0)</f>
        <v>360.47</v>
      </c>
      <c r="F24" s="16">
        <f>IFERROR('Data Sheet'!E26,0)</f>
        <v>622.14</v>
      </c>
      <c r="G24" s="16">
        <f>IFERROR('Data Sheet'!F26,0)</f>
        <v>780.5</v>
      </c>
      <c r="H24" s="16">
        <f>IFERROR('Data Sheet'!G26,0)</f>
        <v>791.27</v>
      </c>
      <c r="I24" s="16">
        <f>IFERROR('Data Sheet'!H26,0)</f>
        <v>816.36</v>
      </c>
      <c r="J24" s="16">
        <f>IFERROR('Data Sheet'!I26,0)</f>
        <v>858.02</v>
      </c>
      <c r="K24" s="16">
        <f>IFERROR('Data Sheet'!J26,0)</f>
        <v>853</v>
      </c>
      <c r="L24" s="16">
        <f>IFERROR('Data Sheet'!K26,0)</f>
        <v>1026.3399999999999</v>
      </c>
      <c r="M24" s="16">
        <f>IFERROR(SUM('Data Sheet'!H45),0)</f>
        <v>301.10000000000002</v>
      </c>
    </row>
    <row r="25" spans="2:13" outlineLevel="1" x14ac:dyDescent="0.3">
      <c r="B25" s="15" t="s">
        <v>68</v>
      </c>
      <c r="C25" s="15">
        <f>C24/C6</f>
        <v>1.9309826794539322E-2</v>
      </c>
      <c r="D25" s="15">
        <f t="shared" ref="D25:M25" si="8">D24/D6</f>
        <v>2.2227474590011016E-2</v>
      </c>
      <c r="E25" s="15">
        <f t="shared" si="8"/>
        <v>2.1425238713665449E-2</v>
      </c>
      <c r="F25" s="15">
        <f t="shared" si="8"/>
        <v>3.2335540352378074E-2</v>
      </c>
      <c r="G25" s="15">
        <f t="shared" si="8"/>
        <v>3.8617106809326486E-2</v>
      </c>
      <c r="H25" s="15">
        <f t="shared" si="8"/>
        <v>3.6442576011650275E-2</v>
      </c>
      <c r="I25" s="15">
        <f t="shared" si="8"/>
        <v>2.8052374328551871E-2</v>
      </c>
      <c r="J25" s="15">
        <f t="shared" si="8"/>
        <v>2.4878372818372688E-2</v>
      </c>
      <c r="K25" s="15">
        <f t="shared" si="8"/>
        <v>2.4031736542297968E-2</v>
      </c>
      <c r="L25" s="15">
        <f t="shared" si="8"/>
        <v>3.0270497929251843E-2</v>
      </c>
      <c r="M25" s="15">
        <f t="shared" si="8"/>
        <v>8.6782963331243738E-3</v>
      </c>
    </row>
    <row r="26" spans="2:13" outlineLevel="1" x14ac:dyDescent="0.3"/>
    <row r="27" spans="2:13" outlineLevel="1" x14ac:dyDescent="0.3">
      <c r="B27" s="27" t="s">
        <v>118</v>
      </c>
      <c r="C27" s="28">
        <f>C18-SUM(C21,C24)</f>
        <v>2400.4600000000014</v>
      </c>
      <c r="D27" s="28">
        <f t="shared" ref="D27:M27" si="9">D18-SUM(D21,D24)</f>
        <v>2621.6400000000003</v>
      </c>
      <c r="E27" s="28">
        <f t="shared" si="9"/>
        <v>2802.0700000000011</v>
      </c>
      <c r="F27" s="28">
        <f t="shared" si="9"/>
        <v>3032.3300000000013</v>
      </c>
      <c r="G27" s="28">
        <f t="shared" si="9"/>
        <v>3278.9399999999978</v>
      </c>
      <c r="H27" s="28">
        <f t="shared" si="9"/>
        <v>3972.700000000003</v>
      </c>
      <c r="I27" s="28">
        <f t="shared" si="9"/>
        <v>3891.8399999999988</v>
      </c>
      <c r="J27" s="28">
        <f t="shared" si="9"/>
        <v>5257.3699999999953</v>
      </c>
      <c r="K27" s="28">
        <f t="shared" si="9"/>
        <v>6526.8100000000013</v>
      </c>
      <c r="L27" s="28">
        <f t="shared" si="9"/>
        <v>4752.8500000000022</v>
      </c>
      <c r="M27" s="28">
        <f t="shared" si="9"/>
        <v>7312.32</v>
      </c>
    </row>
    <row r="28" spans="2:13" outlineLevel="1" x14ac:dyDescent="0.3">
      <c r="B28" s="15" t="s">
        <v>69</v>
      </c>
      <c r="C28" s="15">
        <f>C27/C6</f>
        <v>0.16819967641780931</v>
      </c>
      <c r="D28" s="15">
        <f t="shared" ref="D28:M28" si="10">D27/D6</f>
        <v>0.17405668175320793</v>
      </c>
      <c r="E28" s="15">
        <f t="shared" si="10"/>
        <v>0.16654650495852794</v>
      </c>
      <c r="F28" s="15">
        <f t="shared" si="10"/>
        <v>0.15760444446061442</v>
      </c>
      <c r="G28" s="15">
        <f t="shared" si="10"/>
        <v>0.16223340961098387</v>
      </c>
      <c r="H28" s="15">
        <f t="shared" si="10"/>
        <v>0.18296589245325004</v>
      </c>
      <c r="I28" s="15">
        <f t="shared" si="10"/>
        <v>0.13373432371359606</v>
      </c>
      <c r="J28" s="15">
        <f t="shared" si="10"/>
        <v>0.15243795121806938</v>
      </c>
      <c r="K28" s="15">
        <f t="shared" si="10"/>
        <v>0.18388110009570438</v>
      </c>
      <c r="L28" s="15">
        <f t="shared" si="10"/>
        <v>0.14017882581117827</v>
      </c>
      <c r="M28" s="15">
        <f t="shared" si="10"/>
        <v>0.21075549599014287</v>
      </c>
    </row>
    <row r="29" spans="2:13" outlineLevel="1" x14ac:dyDescent="0.3"/>
    <row r="30" spans="2:13" outlineLevel="1" x14ac:dyDescent="0.3">
      <c r="B30" t="s">
        <v>8</v>
      </c>
      <c r="C30" s="16">
        <f>IFERROR('Data Sheet'!B29,0)</f>
        <v>844.49</v>
      </c>
      <c r="D30" s="16">
        <f>IFERROR('Data Sheet'!C29,0)</f>
        <v>943.29</v>
      </c>
      <c r="E30" s="16">
        <f>IFERROR('Data Sheet'!D29,0)</f>
        <v>1040.96</v>
      </c>
      <c r="F30" s="16">
        <f>IFERROR('Data Sheet'!E29,0)</f>
        <v>1098.06</v>
      </c>
      <c r="G30" s="16">
        <f>IFERROR('Data Sheet'!F29,0)</f>
        <v>854.85</v>
      </c>
      <c r="H30" s="16">
        <f>IFERROR('Data Sheet'!G29,0)</f>
        <v>1097.5999999999999</v>
      </c>
      <c r="I30" s="16">
        <f>IFERROR('Data Sheet'!H29,0)</f>
        <v>1102.9100000000001</v>
      </c>
      <c r="J30" s="16">
        <f>IFERROR('Data Sheet'!I29,0)</f>
        <v>1493.5</v>
      </c>
      <c r="K30" s="16">
        <f>IFERROR('Data Sheet'!J29,0)</f>
        <v>1790.08</v>
      </c>
      <c r="L30" s="16">
        <f>IFERROR('Data Sheet'!K29,0)</f>
        <v>1393.36</v>
      </c>
      <c r="M30" s="16">
        <f>IFERROR(SUM('Data Sheet'!H48:K48),0)</f>
        <v>1501.5400000000002</v>
      </c>
    </row>
    <row r="31" spans="2:13" outlineLevel="1" x14ac:dyDescent="0.3">
      <c r="B31" s="15" t="s">
        <v>70</v>
      </c>
      <c r="C31" s="15">
        <f>C30/C27</f>
        <v>0.35180340434749985</v>
      </c>
      <c r="D31" s="15">
        <f t="shared" ref="D31:M31" si="11">D30/D27</f>
        <v>0.35980912711127377</v>
      </c>
      <c r="E31" s="15">
        <f t="shared" si="11"/>
        <v>0.37149678630441052</v>
      </c>
      <c r="F31" s="15">
        <f t="shared" si="11"/>
        <v>0.36211757955103813</v>
      </c>
      <c r="G31" s="15">
        <f t="shared" si="11"/>
        <v>0.26070925360024905</v>
      </c>
      <c r="H31" s="15">
        <f t="shared" si="11"/>
        <v>0.2762856495582347</v>
      </c>
      <c r="I31" s="15">
        <f t="shared" si="11"/>
        <v>0.2833903757605658</v>
      </c>
      <c r="J31" s="15">
        <f t="shared" si="11"/>
        <v>0.28407739991668862</v>
      </c>
      <c r="K31" s="15">
        <f t="shared" si="11"/>
        <v>0.27426568262290452</v>
      </c>
      <c r="L31" s="15">
        <f t="shared" si="11"/>
        <v>0.29316304953869765</v>
      </c>
      <c r="M31" s="15">
        <f t="shared" si="11"/>
        <v>0.20534385803684743</v>
      </c>
    </row>
    <row r="32" spans="2:13" outlineLevel="1" x14ac:dyDescent="0.3"/>
    <row r="33" spans="1:13" outlineLevel="1" x14ac:dyDescent="0.3">
      <c r="B33" s="27" t="s">
        <v>71</v>
      </c>
      <c r="C33" s="28">
        <f>IFERROR(C27-C30,0)</f>
        <v>1555.9700000000014</v>
      </c>
      <c r="D33" s="28">
        <f t="shared" ref="D33:M33" si="12">IFERROR(D27-D30,0)</f>
        <v>1678.3500000000004</v>
      </c>
      <c r="E33" s="28">
        <f t="shared" si="12"/>
        <v>1761.110000000001</v>
      </c>
      <c r="F33" s="28">
        <f t="shared" si="12"/>
        <v>1934.2700000000013</v>
      </c>
      <c r="G33" s="28">
        <f t="shared" si="12"/>
        <v>2424.0899999999979</v>
      </c>
      <c r="H33" s="28">
        <f t="shared" si="12"/>
        <v>2875.1000000000031</v>
      </c>
      <c r="I33" s="28">
        <f t="shared" si="12"/>
        <v>2788.9299999999985</v>
      </c>
      <c r="J33" s="28">
        <f t="shared" si="12"/>
        <v>3763.8699999999953</v>
      </c>
      <c r="K33" s="28">
        <f t="shared" si="12"/>
        <v>4736.7300000000014</v>
      </c>
      <c r="L33" s="28">
        <f t="shared" si="12"/>
        <v>3359.4900000000025</v>
      </c>
      <c r="M33" s="28">
        <f t="shared" si="12"/>
        <v>5810.78</v>
      </c>
    </row>
    <row r="34" spans="1:13" outlineLevel="1" x14ac:dyDescent="0.3">
      <c r="B34" s="15" t="s">
        <v>72</v>
      </c>
      <c r="C34" s="15">
        <f>C33/C6</f>
        <v>0.10902645764387611</v>
      </c>
      <c r="D34" s="15">
        <f t="shared" ref="D34:M34" si="13">D33/D6</f>
        <v>0.1114294990237014</v>
      </c>
      <c r="E34" s="15">
        <f t="shared" si="13"/>
        <v>0.10467501359620324</v>
      </c>
      <c r="F34" s="15">
        <f t="shared" si="13"/>
        <v>0.1005331045060507</v>
      </c>
      <c r="G34" s="15">
        <f t="shared" si="13"/>
        <v>0.1199376584822808</v>
      </c>
      <c r="H34" s="15">
        <f t="shared" si="13"/>
        <v>0.13241504200980173</v>
      </c>
      <c r="I34" s="15">
        <f t="shared" si="13"/>
        <v>9.5835303464314917E-2</v>
      </c>
      <c r="J34" s="15">
        <f t="shared" si="13"/>
        <v>0.10913377438741322</v>
      </c>
      <c r="K34" s="15">
        <f t="shared" si="13"/>
        <v>0.13344882465650537</v>
      </c>
      <c r="L34" s="15">
        <f t="shared" si="13"/>
        <v>9.9083573755619339E-2</v>
      </c>
      <c r="M34" s="15">
        <f t="shared" si="13"/>
        <v>0.16747814934105762</v>
      </c>
    </row>
    <row r="35" spans="1:13" outlineLevel="1" x14ac:dyDescent="0.3"/>
    <row r="36" spans="1:13" outlineLevel="1" x14ac:dyDescent="0.3">
      <c r="B36" t="s">
        <v>39</v>
      </c>
      <c r="C36" s="16">
        <f>IFERROR('Data Sheet'!B93,0)</f>
        <v>95.92</v>
      </c>
      <c r="D36" s="16">
        <f>IFERROR('Data Sheet'!C93,0)</f>
        <v>95.92</v>
      </c>
      <c r="E36" s="16">
        <f>IFERROR('Data Sheet'!D93,0)</f>
        <v>95.92</v>
      </c>
      <c r="F36" s="16">
        <f>IFERROR('Data Sheet'!E93,0)</f>
        <v>95.92</v>
      </c>
      <c r="G36" s="16">
        <f>IFERROR('Data Sheet'!F93,0)</f>
        <v>95.92</v>
      </c>
      <c r="H36" s="16">
        <f>IFERROR('Data Sheet'!G93,0)</f>
        <v>95.92</v>
      </c>
      <c r="I36" s="16">
        <f>IFERROR('Data Sheet'!H93,0)</f>
        <v>95.92</v>
      </c>
      <c r="J36" s="16">
        <f>IFERROR('Data Sheet'!I93,0)</f>
        <v>95.92</v>
      </c>
      <c r="K36" s="16">
        <f>IFERROR('Data Sheet'!J93,0)</f>
        <v>95.92</v>
      </c>
      <c r="L36" s="16">
        <f>IFERROR('Data Sheet'!K93,0)</f>
        <v>95.92</v>
      </c>
      <c r="M36" s="16">
        <f>IFERROR('Data Sheet'!L93,0)</f>
        <v>0</v>
      </c>
    </row>
    <row r="37" spans="1:13" outlineLevel="1" x14ac:dyDescent="0.3"/>
    <row r="38" spans="1:13" outlineLevel="1" x14ac:dyDescent="0.3">
      <c r="B38" t="s">
        <v>73</v>
      </c>
      <c r="C38" s="16">
        <f t="shared" ref="C38:M38" si="14">IFERROR(C33/C36,0)</f>
        <v>16.221538782318614</v>
      </c>
      <c r="D38" s="16">
        <f t="shared" si="14"/>
        <v>17.497393661384489</v>
      </c>
      <c r="E38" s="16">
        <f t="shared" si="14"/>
        <v>18.360195996663897</v>
      </c>
      <c r="F38" s="16">
        <f t="shared" si="14"/>
        <v>20.165450375312773</v>
      </c>
      <c r="G38" s="16">
        <f t="shared" si="14"/>
        <v>25.271997497914906</v>
      </c>
      <c r="H38" s="16">
        <f t="shared" si="14"/>
        <v>29.973936613844902</v>
      </c>
      <c r="I38" s="16">
        <f t="shared" si="14"/>
        <v>29.075583819849857</v>
      </c>
      <c r="J38" s="16">
        <f t="shared" si="14"/>
        <v>39.23967889908252</v>
      </c>
      <c r="K38" s="16">
        <f t="shared" si="14"/>
        <v>49.382089241034208</v>
      </c>
      <c r="L38" s="16">
        <f t="shared" si="14"/>
        <v>35.023874061718125</v>
      </c>
      <c r="M38" s="16">
        <f t="shared" si="14"/>
        <v>0</v>
      </c>
    </row>
    <row r="39" spans="1:13" outlineLevel="1" x14ac:dyDescent="0.3">
      <c r="B39" s="15" t="s">
        <v>74</v>
      </c>
      <c r="C39" s="15"/>
      <c r="D39" s="15">
        <f>IFERROR(D38/C38-1,0)</f>
        <v>7.8651902028958443E-2</v>
      </c>
      <c r="E39" s="15">
        <f t="shared" ref="E39:M39" si="15">IFERROR(E38/D38-1,0)</f>
        <v>4.9310334554771629E-2</v>
      </c>
      <c r="F39" s="15">
        <f t="shared" si="15"/>
        <v>9.8324352255111824E-2</v>
      </c>
      <c r="G39" s="15">
        <f t="shared" si="15"/>
        <v>0.25323248564057566</v>
      </c>
      <c r="H39" s="15">
        <f t="shared" si="15"/>
        <v>0.1860533231026924</v>
      </c>
      <c r="I39" s="15">
        <f t="shared" si="15"/>
        <v>-2.9971131438908061E-2</v>
      </c>
      <c r="J39" s="15">
        <f t="shared" si="15"/>
        <v>0.34957492658474676</v>
      </c>
      <c r="K39" s="15">
        <f t="shared" si="15"/>
        <v>0.25847332665581102</v>
      </c>
      <c r="L39" s="15">
        <f t="shared" si="15"/>
        <v>-0.29075754792863395</v>
      </c>
      <c r="M39" s="15">
        <f t="shared" si="15"/>
        <v>-1</v>
      </c>
    </row>
    <row r="40" spans="1:13" outlineLevel="1" x14ac:dyDescent="0.3"/>
    <row r="41" spans="1:13" outlineLevel="1" x14ac:dyDescent="0.3">
      <c r="B41" t="s">
        <v>75</v>
      </c>
      <c r="C41" s="16">
        <f>IFERROR('Data Sheet'!B31/'Historical FS '!C36,0)</f>
        <v>7.5</v>
      </c>
      <c r="D41" s="16">
        <f>IFERROR('Data Sheet'!C31/'Historical FS '!D36,0)</f>
        <v>10.300041701417848</v>
      </c>
      <c r="E41" s="16">
        <f>IFERROR('Data Sheet'!D31/'Historical FS '!E36,0)</f>
        <v>8.6999582985821515</v>
      </c>
      <c r="F41" s="16">
        <f>IFERROR('Data Sheet'!E31/'Historical FS '!F36,0)</f>
        <v>10.5</v>
      </c>
      <c r="G41" s="16">
        <f>IFERROR('Data Sheet'!F31/'Historical FS '!G36,0)</f>
        <v>12</v>
      </c>
      <c r="H41" s="16">
        <f>IFERROR('Data Sheet'!G31/'Historical FS '!H36,0)</f>
        <v>17.849979149291077</v>
      </c>
      <c r="I41" s="16">
        <f>IFERROR('Data Sheet'!H31/'Historical FS '!I36,0)</f>
        <v>19.150020850708923</v>
      </c>
      <c r="J41" s="16">
        <f>IFERROR('Data Sheet'!I31/'Historical FS '!J36,0)</f>
        <v>25.650020850708923</v>
      </c>
      <c r="K41" s="16">
        <f>IFERROR('Data Sheet'!J31/'Historical FS '!K36,0)</f>
        <v>33.300041701417847</v>
      </c>
      <c r="L41" s="16">
        <f>IFERROR('Data Sheet'!K31/'Historical FS '!L36,0)</f>
        <v>24.80004170141785</v>
      </c>
      <c r="M41" s="16">
        <f>IFERROR('Data Sheet'!L31/'Historical FS '!M36,0)</f>
        <v>0</v>
      </c>
    </row>
    <row r="42" spans="1:13" outlineLevel="1" x14ac:dyDescent="0.3">
      <c r="B42" s="15" t="s">
        <v>76</v>
      </c>
      <c r="C42" s="15">
        <f>IFERROR(C41/C38,0)</f>
        <v>0.46234824578880013</v>
      </c>
      <c r="D42" s="15">
        <f t="shared" ref="D42:M42" si="16">IFERROR(D41/D38,0)</f>
        <v>0.5886614830041409</v>
      </c>
      <c r="E42" s="15">
        <f t="shared" si="16"/>
        <v>0.47384887939992359</v>
      </c>
      <c r="F42" s="15">
        <f t="shared" si="16"/>
        <v>0.52069256101785133</v>
      </c>
      <c r="G42" s="15">
        <f t="shared" si="16"/>
        <v>0.47483385517864479</v>
      </c>
      <c r="H42" s="15">
        <f t="shared" si="16"/>
        <v>0.59551667768077576</v>
      </c>
      <c r="I42" s="15">
        <f t="shared" si="16"/>
        <v>0.65862893654555732</v>
      </c>
      <c r="J42" s="15">
        <f t="shared" si="16"/>
        <v>0.65367560516170931</v>
      </c>
      <c r="K42" s="15">
        <f t="shared" si="16"/>
        <v>0.67433440369199826</v>
      </c>
      <c r="L42" s="15">
        <f t="shared" si="16"/>
        <v>0.70808962074600557</v>
      </c>
      <c r="M42" s="15">
        <f t="shared" si="16"/>
        <v>0</v>
      </c>
    </row>
    <row r="43" spans="1:13" outlineLevel="1" x14ac:dyDescent="0.3"/>
    <row r="44" spans="1:13" outlineLevel="1" x14ac:dyDescent="0.3">
      <c r="B44" t="s">
        <v>77</v>
      </c>
      <c r="C44" s="17">
        <f>IFERROR(1-C42,0)</f>
        <v>0.53765175421119982</v>
      </c>
      <c r="D44" s="17">
        <f t="shared" ref="D44:M44" si="17">IFERROR(1-D42,0)</f>
        <v>0.4113385169958591</v>
      </c>
      <c r="E44" s="17">
        <f t="shared" si="17"/>
        <v>0.52615112060007641</v>
      </c>
      <c r="F44" s="17">
        <f t="shared" si="17"/>
        <v>0.47930743898214867</v>
      </c>
      <c r="G44" s="17">
        <f t="shared" si="17"/>
        <v>0.52516614482135515</v>
      </c>
      <c r="H44" s="17">
        <f t="shared" si="17"/>
        <v>0.40448332231922424</v>
      </c>
      <c r="I44" s="17">
        <f t="shared" si="17"/>
        <v>0.34137106345444268</v>
      </c>
      <c r="J44" s="17">
        <f t="shared" si="17"/>
        <v>0.34632439483829069</v>
      </c>
      <c r="K44" s="17">
        <f t="shared" si="17"/>
        <v>0.32566559630800174</v>
      </c>
      <c r="L44" s="17">
        <f t="shared" si="17"/>
        <v>0.29191037925399443</v>
      </c>
      <c r="M44" s="17">
        <f t="shared" si="17"/>
        <v>1</v>
      </c>
    </row>
    <row r="45" spans="1:13" outlineLevel="1" x14ac:dyDescent="0.3">
      <c r="B45" t="s">
        <v>77</v>
      </c>
      <c r="C45" s="17">
        <f>IFERROR(IF(C38&gt;C41,1-C42,0),0)</f>
        <v>0.53765175421119982</v>
      </c>
      <c r="D45" s="17">
        <f t="shared" ref="D45:M45" si="18">IFERROR(IF(D38&gt;D41,1-D42,0),0)</f>
        <v>0.4113385169958591</v>
      </c>
      <c r="E45" s="17">
        <f t="shared" si="18"/>
        <v>0.52615112060007641</v>
      </c>
      <c r="F45" s="17">
        <f t="shared" si="18"/>
        <v>0.47930743898214867</v>
      </c>
      <c r="G45" s="17">
        <f t="shared" si="18"/>
        <v>0.52516614482135515</v>
      </c>
      <c r="H45" s="17">
        <f t="shared" si="18"/>
        <v>0.40448332231922424</v>
      </c>
      <c r="I45" s="17">
        <f t="shared" si="18"/>
        <v>0.34137106345444268</v>
      </c>
      <c r="J45" s="17">
        <f t="shared" si="18"/>
        <v>0.34632439483829069</v>
      </c>
      <c r="K45" s="17">
        <f t="shared" si="18"/>
        <v>0.32566559630800174</v>
      </c>
      <c r="L45" s="17">
        <f t="shared" si="18"/>
        <v>0.29191037925399443</v>
      </c>
      <c r="M45" s="17">
        <f t="shared" si="18"/>
        <v>0</v>
      </c>
    </row>
    <row r="47" spans="1:13" hidden="1" x14ac:dyDescent="0.3">
      <c r="A47" s="22" t="s">
        <v>58</v>
      </c>
      <c r="B47" s="19" t="s">
        <v>78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</row>
    <row r="48" spans="1:13" outlineLevel="1" x14ac:dyDescent="0.3">
      <c r="B48" s="4" t="s">
        <v>11</v>
      </c>
      <c r="C48" s="16">
        <f>IFERROR('Data Sheet'!B57,0)</f>
        <v>95.92</v>
      </c>
      <c r="D48" s="16">
        <f>IFERROR('Data Sheet'!C57,0)</f>
        <v>95.92</v>
      </c>
      <c r="E48" s="16">
        <f>IFERROR('Data Sheet'!D57,0)</f>
        <v>95.92</v>
      </c>
      <c r="F48" s="16">
        <f>IFERROR('Data Sheet'!E57,0)</f>
        <v>95.92</v>
      </c>
      <c r="G48" s="16">
        <f>IFERROR('Data Sheet'!F57,0)</f>
        <v>95.92</v>
      </c>
      <c r="H48" s="16">
        <f>IFERROR('Data Sheet'!G57,0)</f>
        <v>95.92</v>
      </c>
      <c r="I48" s="16">
        <f>IFERROR('Data Sheet'!H57,0)</f>
        <v>95.92</v>
      </c>
      <c r="J48" s="16">
        <f>IFERROR('Data Sheet'!I57,0)</f>
        <v>95.92</v>
      </c>
      <c r="K48" s="16">
        <f>IFERROR('Data Sheet'!J57,0)</f>
        <v>95.92</v>
      </c>
      <c r="L48" s="16">
        <f>IFERROR('Data Sheet'!K57,0)</f>
        <v>95.92</v>
      </c>
      <c r="M48" s="16"/>
    </row>
    <row r="49" spans="2:13" outlineLevel="1" x14ac:dyDescent="0.3">
      <c r="B49" s="4" t="s">
        <v>12</v>
      </c>
      <c r="C49" s="16">
        <f>IFERROR('Data Sheet'!B58,0)</f>
        <v>6428.9</v>
      </c>
      <c r="D49" s="16">
        <f>IFERROR('Data Sheet'!C58,0)</f>
        <v>7507.97</v>
      </c>
      <c r="E49" s="16">
        <f>IFERROR('Data Sheet'!D58,0)</f>
        <v>8314.31</v>
      </c>
      <c r="F49" s="16">
        <f>IFERROR('Data Sheet'!E58,0)</f>
        <v>9374.6299999999992</v>
      </c>
      <c r="G49" s="16">
        <f>IFERROR('Data Sheet'!F58,0)</f>
        <v>10034.24</v>
      </c>
      <c r="H49" s="16">
        <f>IFERROR('Data Sheet'!G58,0)</f>
        <v>12710.37</v>
      </c>
      <c r="I49" s="16">
        <f>IFERROR('Data Sheet'!H58,0)</f>
        <v>13715.64</v>
      </c>
      <c r="J49" s="16">
        <f>IFERROR('Data Sheet'!I58,0)</f>
        <v>15896.31</v>
      </c>
      <c r="K49" s="16">
        <f>IFERROR('Data Sheet'!J58,0)</f>
        <v>18632.38</v>
      </c>
      <c r="L49" s="16">
        <f>IFERROR('Data Sheet'!K58,0)</f>
        <v>19303.89</v>
      </c>
      <c r="M49" s="16"/>
    </row>
    <row r="50" spans="2:13" outlineLevel="1" x14ac:dyDescent="0.3">
      <c r="B50" s="4" t="s">
        <v>36</v>
      </c>
      <c r="C50" s="16">
        <f>IFERROR('Data Sheet'!B59,0)</f>
        <v>323.29000000000002</v>
      </c>
      <c r="D50" s="16">
        <f>IFERROR('Data Sheet'!C59,0)</f>
        <v>560.34</v>
      </c>
      <c r="E50" s="16">
        <f>IFERROR('Data Sheet'!D59,0)</f>
        <v>533.42999999999995</v>
      </c>
      <c r="F50" s="16">
        <f>IFERROR('Data Sheet'!E59,0)</f>
        <v>1319.6</v>
      </c>
      <c r="G50" s="16">
        <f>IFERROR('Data Sheet'!F59,0)</f>
        <v>1118.5</v>
      </c>
      <c r="H50" s="16">
        <f>IFERROR('Data Sheet'!G59,0)</f>
        <v>1093.1199999999999</v>
      </c>
      <c r="I50" s="16">
        <f>IFERROR('Data Sheet'!H59,0)</f>
        <v>1586.88</v>
      </c>
      <c r="J50" s="16">
        <f>IFERROR('Data Sheet'!I59,0)</f>
        <v>1932.62</v>
      </c>
      <c r="K50" s="16">
        <f>IFERROR('Data Sheet'!J59,0)</f>
        <v>2474.38</v>
      </c>
      <c r="L50" s="16">
        <f>IFERROR('Data Sheet'!K59,0)</f>
        <v>2290.29</v>
      </c>
      <c r="M50" s="16"/>
    </row>
    <row r="51" spans="2:13" outlineLevel="1" x14ac:dyDescent="0.3">
      <c r="B51" s="4" t="s">
        <v>37</v>
      </c>
      <c r="C51" s="16">
        <f>IFERROR('Data Sheet'!B60,0)</f>
        <v>3710.92</v>
      </c>
      <c r="D51" s="16">
        <f>IFERROR('Data Sheet'!C60,0)</f>
        <v>4240.96</v>
      </c>
      <c r="E51" s="16">
        <f>IFERROR('Data Sheet'!D60,0)</f>
        <v>4819.82</v>
      </c>
      <c r="F51" s="16">
        <f>IFERROR('Data Sheet'!E60,0)</f>
        <v>5458.69</v>
      </c>
      <c r="G51" s="16">
        <f>IFERROR('Data Sheet'!F60,0)</f>
        <v>4889.3100000000004</v>
      </c>
      <c r="H51" s="16">
        <f>IFERROR('Data Sheet'!G60,0)</f>
        <v>6455.93</v>
      </c>
      <c r="I51" s="16">
        <f>IFERROR('Data Sheet'!H60,0)</f>
        <v>7559.99</v>
      </c>
      <c r="J51" s="16">
        <f>IFERROR('Data Sheet'!I60,0)</f>
        <v>7854.48</v>
      </c>
      <c r="K51" s="16">
        <f>IFERROR('Data Sheet'!J60,0)</f>
        <v>8698.09</v>
      </c>
      <c r="L51" s="16">
        <f>IFERROR('Data Sheet'!K60,0)</f>
        <v>8665.15</v>
      </c>
      <c r="M51" s="16"/>
    </row>
    <row r="52" spans="2:13" outlineLevel="1" x14ac:dyDescent="0.3">
      <c r="B52" s="29" t="s">
        <v>79</v>
      </c>
      <c r="C52" s="28">
        <f>SUM(C48:C51)</f>
        <v>10559.029999999999</v>
      </c>
      <c r="D52" s="28">
        <f t="shared" ref="D52:L52" si="19">SUM(D48:D51)</f>
        <v>12405.19</v>
      </c>
      <c r="E52" s="28">
        <f t="shared" si="19"/>
        <v>13763.48</v>
      </c>
      <c r="F52" s="28">
        <f t="shared" si="19"/>
        <v>16248.84</v>
      </c>
      <c r="G52" s="28">
        <f t="shared" si="19"/>
        <v>16137.970000000001</v>
      </c>
      <c r="H52" s="28">
        <f t="shared" si="19"/>
        <v>20355.34</v>
      </c>
      <c r="I52" s="28">
        <f t="shared" si="19"/>
        <v>22958.43</v>
      </c>
      <c r="J52" s="28">
        <f t="shared" si="19"/>
        <v>25779.329999999998</v>
      </c>
      <c r="K52" s="28">
        <f t="shared" si="19"/>
        <v>29900.77</v>
      </c>
      <c r="L52" s="28">
        <f t="shared" si="19"/>
        <v>30355.25</v>
      </c>
      <c r="M52" s="2"/>
    </row>
    <row r="53" spans="2:13" outlineLevel="1" x14ac:dyDescent="0.3">
      <c r="B53" s="1"/>
    </row>
    <row r="54" spans="2:13" outlineLevel="1" x14ac:dyDescent="0.3">
      <c r="B54" s="4" t="s">
        <v>80</v>
      </c>
      <c r="C54" s="16">
        <f>IFERROR('Data Sheet'!B62,0)</f>
        <v>3416.35</v>
      </c>
      <c r="D54" s="16">
        <f>IFERROR('Data Sheet'!C62,0)</f>
        <v>3303.74</v>
      </c>
      <c r="E54" s="16">
        <f>IFERROR('Data Sheet'!D62,0)</f>
        <v>3732.24</v>
      </c>
      <c r="F54" s="16">
        <f>IFERROR('Data Sheet'!E62,0)</f>
        <v>6496.56</v>
      </c>
      <c r="G54" s="16">
        <f>IFERROR('Data Sheet'!F62,0)</f>
        <v>6272.31</v>
      </c>
      <c r="H54" s="16">
        <f>IFERROR('Data Sheet'!G62,0)</f>
        <v>5858.52</v>
      </c>
      <c r="I54" s="16">
        <f>IFERROR('Data Sheet'!H62,0)</f>
        <v>5519.06</v>
      </c>
      <c r="J54" s="16">
        <f>IFERROR('Data Sheet'!I62,0)</f>
        <v>5770.46</v>
      </c>
      <c r="K54" s="16">
        <f>IFERROR('Data Sheet'!J62,0)</f>
        <v>7146.62</v>
      </c>
      <c r="L54" s="16">
        <f>IFERROR('Data Sheet'!K62,0)</f>
        <v>9220.1</v>
      </c>
      <c r="M54" s="16"/>
    </row>
    <row r="55" spans="2:13" outlineLevel="1" x14ac:dyDescent="0.3">
      <c r="B55" s="4" t="s">
        <v>15</v>
      </c>
      <c r="C55" s="16">
        <f>IFERROR('Data Sheet'!B63,0)</f>
        <v>106.59</v>
      </c>
      <c r="D55" s="16">
        <f>IFERROR('Data Sheet'!C63,0)</f>
        <v>257.54000000000002</v>
      </c>
      <c r="E55" s="16">
        <f>IFERROR('Data Sheet'!D63,0)</f>
        <v>1405.11</v>
      </c>
      <c r="F55" s="16">
        <f>IFERROR('Data Sheet'!E63,0)</f>
        <v>209.67</v>
      </c>
      <c r="G55" s="16">
        <f>IFERROR('Data Sheet'!F63,0)</f>
        <v>140.24</v>
      </c>
      <c r="H55" s="16">
        <f>IFERROR('Data Sheet'!G63,0)</f>
        <v>182.98</v>
      </c>
      <c r="I55" s="16">
        <f>IFERROR('Data Sheet'!H63,0)</f>
        <v>426.43</v>
      </c>
      <c r="J55" s="16">
        <f>IFERROR('Data Sheet'!I63,0)</f>
        <v>1019.59</v>
      </c>
      <c r="K55" s="16">
        <f>IFERROR('Data Sheet'!J63,0)</f>
        <v>2698.37</v>
      </c>
      <c r="L55" s="16">
        <f>IFERROR('Data Sheet'!K63,0)</f>
        <v>1254.49</v>
      </c>
      <c r="M55" s="16"/>
    </row>
    <row r="56" spans="2:13" outlineLevel="1" x14ac:dyDescent="0.3">
      <c r="B56" s="4" t="s">
        <v>16</v>
      </c>
      <c r="C56" s="16">
        <f>IFERROR('Data Sheet'!B64,0)</f>
        <v>2712.13</v>
      </c>
      <c r="D56" s="16">
        <f>IFERROR('Data Sheet'!C64,0)</f>
        <v>2651.99</v>
      </c>
      <c r="E56" s="16">
        <f>IFERROR('Data Sheet'!D64,0)</f>
        <v>2140.6999999999998</v>
      </c>
      <c r="F56" s="16">
        <f>IFERROR('Data Sheet'!E64,0)</f>
        <v>2568.58</v>
      </c>
      <c r="G56" s="16">
        <f>IFERROR('Data Sheet'!F64,0)</f>
        <v>2018.85</v>
      </c>
      <c r="H56" s="16">
        <f>IFERROR('Data Sheet'!G64,0)</f>
        <v>4736.8</v>
      </c>
      <c r="I56" s="16">
        <f>IFERROR('Data Sheet'!H64,0)</f>
        <v>3247.53</v>
      </c>
      <c r="J56" s="16">
        <f>IFERROR('Data Sheet'!I64,0)</f>
        <v>4261.71</v>
      </c>
      <c r="K56" s="16">
        <f>IFERROR('Data Sheet'!J64,0)</f>
        <v>4587.92</v>
      </c>
      <c r="L56" s="16">
        <f>IFERROR('Data Sheet'!K64,0)</f>
        <v>4724.75</v>
      </c>
      <c r="M56" s="16"/>
    </row>
    <row r="57" spans="2:13" outlineLevel="1" x14ac:dyDescent="0.3">
      <c r="B57" s="4" t="s">
        <v>38</v>
      </c>
      <c r="C57" s="16">
        <f>IFERROR('Data Sheet'!B65-SUM('Data Sheet'!B67:B69),0)</f>
        <v>714.72000000000025</v>
      </c>
      <c r="D57" s="16">
        <f>IFERROR('Data Sheet'!C65-SUM('Data Sheet'!C67:C69),0)</f>
        <v>1317.17</v>
      </c>
      <c r="E57" s="16">
        <f>IFERROR('Data Sheet'!D65-SUM('Data Sheet'!D67:D69),0)</f>
        <v>1691.8400000000001</v>
      </c>
      <c r="F57" s="16">
        <f>IFERROR('Data Sheet'!E65-SUM('Data Sheet'!E67:E69),0)</f>
        <v>1471.9599999999991</v>
      </c>
      <c r="G57" s="16">
        <f>IFERROR('Data Sheet'!F65-SUM('Data Sheet'!F67:F69),0)</f>
        <v>1738.71</v>
      </c>
      <c r="H57" s="16">
        <f>IFERROR('Data Sheet'!G65-SUM('Data Sheet'!G67:G69),0)</f>
        <v>2565.5200000000004</v>
      </c>
      <c r="I57" s="16">
        <f>IFERROR('Data Sheet'!H65-SUM('Data Sheet'!H67:H69),0)</f>
        <v>2876.66</v>
      </c>
      <c r="J57" s="16">
        <f>IFERROR('Data Sheet'!I65-SUM('Data Sheet'!I67:I69),0)</f>
        <v>3036.17</v>
      </c>
      <c r="K57" s="16">
        <f>IFERROR('Data Sheet'!J65-SUM('Data Sheet'!J67:J69),0)</f>
        <v>3571.3900000000012</v>
      </c>
      <c r="L57" s="16">
        <f>IFERROR('Data Sheet'!K65-SUM('Data Sheet'!K67:K69),0)</f>
        <v>3341.01</v>
      </c>
      <c r="M57" s="16"/>
    </row>
    <row r="58" spans="2:13" outlineLevel="1" x14ac:dyDescent="0.3">
      <c r="B58" s="29" t="s">
        <v>81</v>
      </c>
      <c r="C58" s="28">
        <f>SUM(C54:C57)</f>
        <v>6949.79</v>
      </c>
      <c r="D58" s="28">
        <f t="shared" ref="D58:L58" si="20">SUM(D54:D57)</f>
        <v>7530.44</v>
      </c>
      <c r="E58" s="28">
        <f t="shared" si="20"/>
        <v>8969.89</v>
      </c>
      <c r="F58" s="28">
        <f t="shared" si="20"/>
        <v>10746.77</v>
      </c>
      <c r="G58" s="28">
        <f t="shared" si="20"/>
        <v>10170.11</v>
      </c>
      <c r="H58" s="28">
        <f t="shared" si="20"/>
        <v>13343.82</v>
      </c>
      <c r="I58" s="28">
        <f t="shared" si="20"/>
        <v>12069.68</v>
      </c>
      <c r="J58" s="28">
        <f t="shared" si="20"/>
        <v>14087.93</v>
      </c>
      <c r="K58" s="28">
        <f t="shared" si="20"/>
        <v>18004.300000000003</v>
      </c>
      <c r="L58" s="28">
        <f t="shared" si="20"/>
        <v>18540.349999999999</v>
      </c>
      <c r="M58" s="2"/>
    </row>
    <row r="59" spans="2:13" outlineLevel="1" x14ac:dyDescent="0.3">
      <c r="B59" s="3"/>
    </row>
    <row r="60" spans="2:13" outlineLevel="1" x14ac:dyDescent="0.3">
      <c r="B60" s="4" t="s">
        <v>43</v>
      </c>
      <c r="C60" s="16">
        <f>IFERROR('Data Sheet'!B67,0)</f>
        <v>1186.8399999999999</v>
      </c>
      <c r="D60" s="16">
        <f>IFERROR('Data Sheet'!C67,0)</f>
        <v>1446.6</v>
      </c>
      <c r="E60" s="16">
        <f>IFERROR('Data Sheet'!D67,0)</f>
        <v>1730.63</v>
      </c>
      <c r="F60" s="16">
        <f>IFERROR('Data Sheet'!E67,0)</f>
        <v>1907.33</v>
      </c>
      <c r="G60" s="16">
        <f>IFERROR('Data Sheet'!F67,0)</f>
        <v>1795.22</v>
      </c>
      <c r="H60" s="16">
        <f>IFERROR('Data Sheet'!G67,0)</f>
        <v>2602.17</v>
      </c>
      <c r="I60" s="16">
        <f>IFERROR('Data Sheet'!H67,0)</f>
        <v>3871.44</v>
      </c>
      <c r="J60" s="16">
        <f>IFERROR('Data Sheet'!I67,0)</f>
        <v>4636.9399999999996</v>
      </c>
      <c r="K60" s="16">
        <f>IFERROR('Data Sheet'!J67,0)</f>
        <v>4889.05</v>
      </c>
      <c r="L60" s="16">
        <f>IFERROR('Data Sheet'!K67,0)</f>
        <v>4313.6499999999996</v>
      </c>
    </row>
    <row r="61" spans="2:13" outlineLevel="1" x14ac:dyDescent="0.3">
      <c r="B61" s="4" t="s">
        <v>30</v>
      </c>
      <c r="C61" s="16">
        <f>IFERROR('Data Sheet'!B68,0)</f>
        <v>1998.24</v>
      </c>
      <c r="D61" s="16">
        <f>IFERROR('Data Sheet'!C68,0)</f>
        <v>2626.94</v>
      </c>
      <c r="E61" s="16">
        <f>IFERROR('Data Sheet'!D68,0)</f>
        <v>2658.31</v>
      </c>
      <c r="F61" s="16">
        <f>IFERROR('Data Sheet'!E68,0)</f>
        <v>3149.86</v>
      </c>
      <c r="G61" s="16">
        <f>IFERROR('Data Sheet'!F68,0)</f>
        <v>3389.81</v>
      </c>
      <c r="H61" s="16">
        <f>IFERROR('Data Sheet'!G68,0)</f>
        <v>3798.6</v>
      </c>
      <c r="I61" s="16">
        <f>IFERROR('Data Sheet'!H68,0)</f>
        <v>6152.98</v>
      </c>
      <c r="J61" s="16">
        <f>IFERROR('Data Sheet'!I68,0)</f>
        <v>6210.64</v>
      </c>
      <c r="K61" s="16">
        <f>IFERROR('Data Sheet'!J68,0)</f>
        <v>5923.41</v>
      </c>
      <c r="L61" s="16">
        <f>IFERROR('Data Sheet'!K68,0)</f>
        <v>6719.27</v>
      </c>
    </row>
    <row r="62" spans="2:13" outlineLevel="1" x14ac:dyDescent="0.3">
      <c r="B62" s="3" t="s">
        <v>52</v>
      </c>
      <c r="C62" s="16">
        <f>IFERROR('Data Sheet'!B69,0)</f>
        <v>424.2</v>
      </c>
      <c r="D62" s="16">
        <f>IFERROR('Data Sheet'!C69,0)</f>
        <v>801.21</v>
      </c>
      <c r="E62" s="16">
        <f>IFERROR('Data Sheet'!D69,0)</f>
        <v>404.65</v>
      </c>
      <c r="F62" s="16">
        <f>IFERROR('Data Sheet'!E69,0)</f>
        <v>444.88</v>
      </c>
      <c r="G62" s="16">
        <f>IFERROR('Data Sheet'!F69,0)</f>
        <v>782.83</v>
      </c>
      <c r="H62" s="16">
        <f>IFERROR('Data Sheet'!G69,0)</f>
        <v>610.75</v>
      </c>
      <c r="I62" s="16">
        <f>IFERROR('Data Sheet'!H69,0)</f>
        <v>864.33</v>
      </c>
      <c r="J62" s="16">
        <f>IFERROR('Data Sheet'!I69,0)</f>
        <v>843.82</v>
      </c>
      <c r="K62" s="16">
        <f>IFERROR('Data Sheet'!J69,0)</f>
        <v>1084.01</v>
      </c>
      <c r="L62" s="16">
        <f>IFERROR('Data Sheet'!K69,0)</f>
        <v>781.98</v>
      </c>
    </row>
    <row r="63" spans="2:13" outlineLevel="1" x14ac:dyDescent="0.3">
      <c r="B63" s="30" t="s">
        <v>82</v>
      </c>
      <c r="C63" s="28">
        <f>SUM(C60:C62)</f>
        <v>3609.2799999999997</v>
      </c>
      <c r="D63" s="28">
        <f t="shared" ref="D63:L63" si="21">SUM(D60:D62)</f>
        <v>4874.75</v>
      </c>
      <c r="E63" s="28">
        <f t="shared" si="21"/>
        <v>4793.59</v>
      </c>
      <c r="F63" s="28">
        <f t="shared" si="21"/>
        <v>5502.0700000000006</v>
      </c>
      <c r="G63" s="28">
        <f t="shared" si="21"/>
        <v>5967.86</v>
      </c>
      <c r="H63" s="28">
        <f t="shared" si="21"/>
        <v>7011.52</v>
      </c>
      <c r="I63" s="28">
        <f t="shared" si="21"/>
        <v>10888.75</v>
      </c>
      <c r="J63" s="28">
        <f t="shared" si="21"/>
        <v>11691.4</v>
      </c>
      <c r="K63" s="28">
        <f t="shared" si="21"/>
        <v>11896.47</v>
      </c>
      <c r="L63" s="28">
        <f t="shared" si="21"/>
        <v>11814.9</v>
      </c>
      <c r="M63" s="2"/>
    </row>
    <row r="64" spans="2:13" outlineLevel="1" x14ac:dyDescent="0.3"/>
    <row r="65" spans="1:13" outlineLevel="1" x14ac:dyDescent="0.3">
      <c r="B65" s="31" t="s">
        <v>83</v>
      </c>
      <c r="C65" s="28">
        <f>IFERROR(C63+C58,0)</f>
        <v>10559.07</v>
      </c>
      <c r="D65" s="28">
        <f t="shared" ref="D65:L65" si="22">IFERROR(D63+D58,0)</f>
        <v>12405.189999999999</v>
      </c>
      <c r="E65" s="28">
        <f t="shared" si="22"/>
        <v>13763.48</v>
      </c>
      <c r="F65" s="28">
        <f t="shared" si="22"/>
        <v>16248.84</v>
      </c>
      <c r="G65" s="28">
        <f t="shared" si="22"/>
        <v>16137.970000000001</v>
      </c>
      <c r="H65" s="28">
        <f t="shared" si="22"/>
        <v>20355.34</v>
      </c>
      <c r="I65" s="28">
        <f t="shared" si="22"/>
        <v>22958.43</v>
      </c>
      <c r="J65" s="28">
        <f t="shared" si="22"/>
        <v>25779.33</v>
      </c>
      <c r="K65" s="28">
        <f t="shared" si="22"/>
        <v>29900.770000000004</v>
      </c>
      <c r="L65" s="28">
        <f t="shared" si="22"/>
        <v>30355.25</v>
      </c>
    </row>
    <row r="66" spans="1:13" outlineLevel="1" x14ac:dyDescent="0.3"/>
    <row r="67" spans="1:13" outlineLevel="1" x14ac:dyDescent="0.3">
      <c r="B67" t="s">
        <v>84</v>
      </c>
      <c r="C67" t="b">
        <f>C65=C52</f>
        <v>0</v>
      </c>
      <c r="D67" t="b">
        <f t="shared" ref="D67:L67" si="23">D65=D52</f>
        <v>1</v>
      </c>
      <c r="E67" t="b">
        <f t="shared" si="23"/>
        <v>1</v>
      </c>
      <c r="F67" t="b">
        <f t="shared" si="23"/>
        <v>1</v>
      </c>
      <c r="G67" t="b">
        <f t="shared" si="23"/>
        <v>1</v>
      </c>
      <c r="H67" t="b">
        <f t="shared" si="23"/>
        <v>1</v>
      </c>
      <c r="I67" t="b">
        <f t="shared" si="23"/>
        <v>1</v>
      </c>
      <c r="J67" t="b">
        <f t="shared" si="23"/>
        <v>1</v>
      </c>
      <c r="K67" t="b">
        <f t="shared" si="23"/>
        <v>1</v>
      </c>
      <c r="L67" t="b">
        <f t="shared" si="23"/>
        <v>1</v>
      </c>
    </row>
    <row r="69" spans="1:13" x14ac:dyDescent="0.3">
      <c r="A69" s="22" t="s">
        <v>58</v>
      </c>
      <c r="B69" s="19" t="s">
        <v>113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</row>
    <row r="70" spans="1:13" outlineLevel="1" x14ac:dyDescent="0.3">
      <c r="B70" s="2" t="s">
        <v>115</v>
      </c>
    </row>
    <row r="71" spans="1:13" outlineLevel="1" x14ac:dyDescent="0.3">
      <c r="B71" t="s">
        <v>85</v>
      </c>
      <c r="C71" s="16">
        <f>IFERROR('Cash Flow Data'!E6,0)</f>
        <v>2848</v>
      </c>
      <c r="D71" s="16">
        <f>IFERROR('Cash Flow Data'!F6,0)</f>
        <v>3056</v>
      </c>
      <c r="E71" s="16">
        <f>IFERROR('Cash Flow Data'!G6,0)</f>
        <v>3274</v>
      </c>
      <c r="F71" s="16">
        <f>IFERROR('Cash Flow Data'!H6,0)</f>
        <v>3861</v>
      </c>
      <c r="G71" s="16">
        <f>IFERROR('Cash Flow Data'!I6,0)</f>
        <v>4380</v>
      </c>
      <c r="H71" s="16">
        <f>IFERROR('Cash Flow Data'!J6,0)</f>
        <v>4970</v>
      </c>
      <c r="I71" s="16">
        <f>IFERROR('Cash Flow Data'!K6,0)</f>
        <v>4957</v>
      </c>
      <c r="J71" s="16">
        <f>IFERROR('Cash Flow Data'!L6,0)</f>
        <v>6460</v>
      </c>
      <c r="K71" s="16">
        <f>IFERROR('Cash Flow Data'!M6,0)</f>
        <v>7929</v>
      </c>
      <c r="L71" s="16">
        <f>IFERROR('Cash Flow Data'!N6,0)</f>
        <v>6390</v>
      </c>
      <c r="M71" s="16"/>
    </row>
    <row r="72" spans="1:13" outlineLevel="1" x14ac:dyDescent="0.3">
      <c r="B72" t="s">
        <v>43</v>
      </c>
      <c r="C72" s="16">
        <f>IFERROR('Cash Flow Data'!E7,0)</f>
        <v>-146</v>
      </c>
      <c r="D72" s="16">
        <f>IFERROR('Cash Flow Data'!F7,0)</f>
        <v>-475</v>
      </c>
      <c r="E72" s="16">
        <f>IFERROR('Cash Flow Data'!G7,0)</f>
        <v>-483</v>
      </c>
      <c r="F72" s="16">
        <f>IFERROR('Cash Flow Data'!H7,0)</f>
        <v>-205</v>
      </c>
      <c r="G72" s="16">
        <f>IFERROR('Cash Flow Data'!I7,0)</f>
        <v>160</v>
      </c>
      <c r="H72" s="16">
        <f>IFERROR('Cash Flow Data'!J7,0)</f>
        <v>-1342</v>
      </c>
      <c r="I72" s="16">
        <f>IFERROR('Cash Flow Data'!K7,0)</f>
        <v>-1326</v>
      </c>
      <c r="J72" s="16">
        <f>IFERROR('Cash Flow Data'!L7,0)</f>
        <v>-834</v>
      </c>
      <c r="K72" s="16">
        <f>IFERROR('Cash Flow Data'!M7,0)</f>
        <v>-362</v>
      </c>
      <c r="L72" s="16">
        <f>IFERROR('Cash Flow Data'!N7,0)</f>
        <v>282</v>
      </c>
      <c r="M72" s="16"/>
    </row>
    <row r="73" spans="1:13" outlineLevel="1" x14ac:dyDescent="0.3">
      <c r="B73" t="s">
        <v>30</v>
      </c>
      <c r="C73" s="16">
        <f>IFERROR('Cash Flow Data'!E8,0)</f>
        <v>202</v>
      </c>
      <c r="D73" s="16">
        <f>IFERROR('Cash Flow Data'!F8,0)</f>
        <v>-629</v>
      </c>
      <c r="E73" s="16">
        <f>IFERROR('Cash Flow Data'!G8,0)</f>
        <v>-39</v>
      </c>
      <c r="F73" s="16">
        <f>IFERROR('Cash Flow Data'!H8,0)</f>
        <v>-492</v>
      </c>
      <c r="G73" s="16">
        <f>IFERROR('Cash Flow Data'!I8,0)</f>
        <v>-251</v>
      </c>
      <c r="H73" s="16">
        <f>IFERROR('Cash Flow Data'!J8,0)</f>
        <v>-409</v>
      </c>
      <c r="I73" s="16">
        <f>IFERROR('Cash Flow Data'!K8,0)</f>
        <v>-2354</v>
      </c>
      <c r="J73" s="16">
        <f>IFERROR('Cash Flow Data'!L8,0)</f>
        <v>-56</v>
      </c>
      <c r="K73" s="16">
        <f>IFERROR('Cash Flow Data'!M8,0)</f>
        <v>315</v>
      </c>
      <c r="L73" s="16">
        <f>IFERROR('Cash Flow Data'!N8,0)</f>
        <v>-805</v>
      </c>
      <c r="M73" s="16"/>
    </row>
    <row r="74" spans="1:13" outlineLevel="1" x14ac:dyDescent="0.3">
      <c r="B74" t="s">
        <v>86</v>
      </c>
      <c r="C74" s="16">
        <f>IFERROR('Cash Flow Data'!E9,0)</f>
        <v>142</v>
      </c>
      <c r="D74" s="16">
        <f>IFERROR('Cash Flow Data'!F9,0)</f>
        <v>501</v>
      </c>
      <c r="E74" s="16">
        <f>IFERROR('Cash Flow Data'!G9,0)</f>
        <v>442</v>
      </c>
      <c r="F74" s="16">
        <f>IFERROR('Cash Flow Data'!H9,0)</f>
        <v>287</v>
      </c>
      <c r="G74" s="16">
        <f>IFERROR('Cash Flow Data'!I9,0)</f>
        <v>-647</v>
      </c>
      <c r="H74" s="16">
        <f>IFERROR('Cash Flow Data'!J9,0)</f>
        <v>1544</v>
      </c>
      <c r="I74" s="16">
        <f>IFERROR('Cash Flow Data'!K9,0)</f>
        <v>644</v>
      </c>
      <c r="J74" s="16">
        <f>IFERROR('Cash Flow Data'!L9,0)</f>
        <v>-539</v>
      </c>
      <c r="K74" s="16">
        <f>IFERROR('Cash Flow Data'!M9,0)</f>
        <v>269</v>
      </c>
      <c r="L74" s="16">
        <f>IFERROR('Cash Flow Data'!N9,0)</f>
        <v>-160</v>
      </c>
      <c r="M74" s="16"/>
    </row>
    <row r="75" spans="1:13" outlineLevel="1" x14ac:dyDescent="0.3">
      <c r="B75" t="s">
        <v>87</v>
      </c>
      <c r="C75" s="16">
        <f>IFERROR('Cash Flow Data'!E10,0)</f>
        <v>0</v>
      </c>
      <c r="D75" s="16">
        <f>IFERROR('Cash Flow Data'!F10,0)</f>
        <v>0</v>
      </c>
      <c r="E75" s="16">
        <f>IFERROR('Cash Flow Data'!G10,0)</f>
        <v>0</v>
      </c>
      <c r="F75" s="16">
        <f>IFERROR('Cash Flow Data'!H10,0)</f>
        <v>0</v>
      </c>
      <c r="G75" s="16">
        <f>IFERROR('Cash Flow Data'!I10,0)</f>
        <v>0</v>
      </c>
      <c r="H75" s="16">
        <f>IFERROR('Cash Flow Data'!J10,0)</f>
        <v>0</v>
      </c>
      <c r="I75" s="16">
        <f>IFERROR('Cash Flow Data'!K10,0)</f>
        <v>242</v>
      </c>
      <c r="J75" s="16">
        <f>IFERROR('Cash Flow Data'!L10,0)</f>
        <v>657</v>
      </c>
      <c r="K75" s="16">
        <f>IFERROR('Cash Flow Data'!M10,0)</f>
        <v>-212</v>
      </c>
      <c r="L75" s="16">
        <f>IFERROR('Cash Flow Data'!N10,0)</f>
        <v>114</v>
      </c>
      <c r="M75" s="16"/>
    </row>
    <row r="76" spans="1:13" outlineLevel="1" x14ac:dyDescent="0.3">
      <c r="B76" t="s">
        <v>88</v>
      </c>
      <c r="C76" s="16">
        <f>IFERROR('Cash Flow Data'!E11,0)</f>
        <v>198</v>
      </c>
      <c r="D76" s="16">
        <f>IFERROR('Cash Flow Data'!F11,0)</f>
        <v>-603</v>
      </c>
      <c r="E76" s="16">
        <f>IFERROR('Cash Flow Data'!G11,0)</f>
        <v>-80</v>
      </c>
      <c r="F76" s="16">
        <f>IFERROR('Cash Flow Data'!H11,0)</f>
        <v>-410</v>
      </c>
      <c r="G76" s="16">
        <f>IFERROR('Cash Flow Data'!I11,0)</f>
        <v>-737</v>
      </c>
      <c r="H76" s="16">
        <f>IFERROR('Cash Flow Data'!J11,0)</f>
        <v>-206</v>
      </c>
      <c r="I76" s="16">
        <f>IFERROR('Cash Flow Data'!K11,0)</f>
        <v>-2795</v>
      </c>
      <c r="J76" s="16">
        <f>IFERROR('Cash Flow Data'!L11,0)</f>
        <v>-772</v>
      </c>
      <c r="K76" s="16">
        <f>IFERROR('Cash Flow Data'!M11,0)</f>
        <v>10</v>
      </c>
      <c r="L76" s="16">
        <f>IFERROR('Cash Flow Data'!N11,0)</f>
        <v>-570</v>
      </c>
      <c r="M76" s="16"/>
    </row>
    <row r="77" spans="1:13" outlineLevel="1" x14ac:dyDescent="0.3">
      <c r="B77" t="s">
        <v>89</v>
      </c>
      <c r="C77" s="16">
        <f>IFERROR('Cash Flow Data'!E12,0)</f>
        <v>-802</v>
      </c>
      <c r="D77" s="16">
        <f>IFERROR('Cash Flow Data'!F12,0)</f>
        <v>-925</v>
      </c>
      <c r="E77" s="16">
        <f>IFERROR('Cash Flow Data'!G12,0)</f>
        <v>-1081</v>
      </c>
      <c r="F77" s="16">
        <f>IFERROR('Cash Flow Data'!H12,0)</f>
        <v>-982</v>
      </c>
      <c r="G77" s="16">
        <f>IFERROR('Cash Flow Data'!I12,0)</f>
        <v>-1011</v>
      </c>
      <c r="H77" s="16">
        <f>IFERROR('Cash Flow Data'!J12,0)</f>
        <v>-1080</v>
      </c>
      <c r="I77" s="16">
        <f>IFERROR('Cash Flow Data'!K12,0)</f>
        <v>-1176</v>
      </c>
      <c r="J77" s="16">
        <f>IFERROR('Cash Flow Data'!L12,0)</f>
        <v>-1494</v>
      </c>
      <c r="K77" s="16">
        <f>IFERROR('Cash Flow Data'!M12,0)</f>
        <v>-1835</v>
      </c>
      <c r="L77" s="16">
        <f>IFERROR('Cash Flow Data'!N12,0)</f>
        <v>-1396</v>
      </c>
      <c r="M77" s="16"/>
    </row>
    <row r="78" spans="1:13" outlineLevel="1" x14ac:dyDescent="0.3">
      <c r="B78" s="27" t="s">
        <v>114</v>
      </c>
      <c r="C78" s="28">
        <f>SUM(C71:C77)</f>
        <v>2442</v>
      </c>
      <c r="D78" s="28">
        <f t="shared" ref="D78:L78" si="24">SUM(D71:D77)</f>
        <v>925</v>
      </c>
      <c r="E78" s="28">
        <f t="shared" si="24"/>
        <v>2033</v>
      </c>
      <c r="F78" s="28">
        <f t="shared" si="24"/>
        <v>2059</v>
      </c>
      <c r="G78" s="28">
        <f t="shared" si="24"/>
        <v>1894</v>
      </c>
      <c r="H78" s="28">
        <f t="shared" si="24"/>
        <v>3477</v>
      </c>
      <c r="I78" s="28">
        <f t="shared" si="24"/>
        <v>-1808</v>
      </c>
      <c r="J78" s="28">
        <f t="shared" si="24"/>
        <v>3422</v>
      </c>
      <c r="K78" s="28">
        <f t="shared" si="24"/>
        <v>6114</v>
      </c>
      <c r="L78" s="28">
        <f t="shared" si="24"/>
        <v>3855</v>
      </c>
      <c r="M78" s="2"/>
    </row>
    <row r="79" spans="1:13" outlineLevel="1" x14ac:dyDescent="0.3">
      <c r="C79" s="16"/>
    </row>
    <row r="80" spans="1:13" outlineLevel="1" x14ac:dyDescent="0.3">
      <c r="B80" s="2" t="s">
        <v>108</v>
      </c>
    </row>
    <row r="81" spans="2:13" outlineLevel="1" x14ac:dyDescent="0.3">
      <c r="B81" t="s">
        <v>90</v>
      </c>
      <c r="C81" s="16">
        <f>IFERROR('Cash Flow Data'!E16,0)</f>
        <v>-817</v>
      </c>
      <c r="D81" s="16">
        <f>IFERROR('Cash Flow Data'!F16,0)</f>
        <v>-684</v>
      </c>
      <c r="E81" s="16">
        <f>IFERROR('Cash Flow Data'!G16,0)</f>
        <v>-1426</v>
      </c>
      <c r="F81" s="16">
        <f>IFERROR('Cash Flow Data'!H16,0)</f>
        <v>-1151</v>
      </c>
      <c r="G81" s="16">
        <f>IFERROR('Cash Flow Data'!I16,0)</f>
        <v>-414</v>
      </c>
      <c r="H81" s="16">
        <f>IFERROR('Cash Flow Data'!J16,0)</f>
        <v>-289</v>
      </c>
      <c r="I81" s="16">
        <f>IFERROR('Cash Flow Data'!K16,0)</f>
        <v>-551</v>
      </c>
      <c r="J81" s="16">
        <f>IFERROR('Cash Flow Data'!L16,0)</f>
        <v>-1446</v>
      </c>
      <c r="K81" s="16">
        <f>IFERROR('Cash Flow Data'!M16,0)</f>
        <v>-2496</v>
      </c>
      <c r="L81" s="16">
        <f>IFERROR('Cash Flow Data'!N16,0)</f>
        <v>-1830</v>
      </c>
      <c r="M81" s="16">
        <f>IFERROR('Cash Flow Data'!O16,0)</f>
        <v>0</v>
      </c>
    </row>
    <row r="82" spans="2:13" outlineLevel="1" x14ac:dyDescent="0.3">
      <c r="B82" t="s">
        <v>91</v>
      </c>
      <c r="C82" s="16">
        <f>IFERROR('Cash Flow Data'!E17,0)</f>
        <v>15</v>
      </c>
      <c r="D82" s="16">
        <f>IFERROR('Cash Flow Data'!F17,0)</f>
        <v>17</v>
      </c>
      <c r="E82" s="16">
        <f>IFERROR('Cash Flow Data'!G17,0)</f>
        <v>17</v>
      </c>
      <c r="F82" s="16">
        <f>IFERROR('Cash Flow Data'!H17,0)</f>
        <v>17</v>
      </c>
      <c r="G82" s="16">
        <f>IFERROR('Cash Flow Data'!I17,0)</f>
        <v>37</v>
      </c>
      <c r="H82" s="16">
        <f>IFERROR('Cash Flow Data'!J17,0)</f>
        <v>28</v>
      </c>
      <c r="I82" s="16">
        <f>IFERROR('Cash Flow Data'!K17,0)</f>
        <v>40</v>
      </c>
      <c r="J82" s="16">
        <f>IFERROR('Cash Flow Data'!L17,0)</f>
        <v>26</v>
      </c>
      <c r="K82" s="16">
        <f>IFERROR('Cash Flow Data'!M17,0)</f>
        <v>5</v>
      </c>
      <c r="L82" s="16">
        <f>IFERROR('Cash Flow Data'!N17,0)</f>
        <v>10</v>
      </c>
    </row>
    <row r="83" spans="2:13" outlineLevel="1" x14ac:dyDescent="0.3">
      <c r="B83" t="s">
        <v>92</v>
      </c>
      <c r="C83" s="16">
        <f>IFERROR('Cash Flow Data'!E18,0)</f>
        <v>-282</v>
      </c>
      <c r="D83" s="16">
        <f>IFERROR('Cash Flow Data'!F18,0)</f>
        <v>-153</v>
      </c>
      <c r="E83" s="16">
        <f>IFERROR('Cash Flow Data'!G18,0)</f>
        <v>-320</v>
      </c>
      <c r="F83" s="16">
        <f>IFERROR('Cash Flow Data'!H18,0)</f>
        <v>-573</v>
      </c>
      <c r="G83" s="16">
        <f>IFERROR('Cash Flow Data'!I18,0)</f>
        <v>-25</v>
      </c>
      <c r="H83" s="16">
        <f>IFERROR('Cash Flow Data'!J18,0)</f>
        <v>-140</v>
      </c>
      <c r="I83" s="16">
        <f>IFERROR('Cash Flow Data'!K18,0)</f>
        <v>0</v>
      </c>
      <c r="J83" s="16">
        <f>IFERROR('Cash Flow Data'!L18,0)</f>
        <v>-146</v>
      </c>
      <c r="K83" s="16">
        <f>IFERROR('Cash Flow Data'!M18,0)</f>
        <v>-212</v>
      </c>
      <c r="L83" s="16">
        <f>IFERROR('Cash Flow Data'!N18,0)</f>
        <v>-1</v>
      </c>
    </row>
    <row r="84" spans="2:13" outlineLevel="1" x14ac:dyDescent="0.3">
      <c r="B84" t="s">
        <v>93</v>
      </c>
      <c r="C84" s="16">
        <f>IFERROR('Cash Flow Data'!E19,0)</f>
        <v>205</v>
      </c>
      <c r="D84" s="16">
        <f>IFERROR('Cash Flow Data'!F19,0)</f>
        <v>357</v>
      </c>
      <c r="E84" s="16">
        <f>IFERROR('Cash Flow Data'!G19,0)</f>
        <v>362</v>
      </c>
      <c r="F84" s="16">
        <f>IFERROR('Cash Flow Data'!H19,0)</f>
        <v>733</v>
      </c>
      <c r="G84" s="16">
        <f>IFERROR('Cash Flow Data'!I19,0)</f>
        <v>118</v>
      </c>
      <c r="H84" s="16">
        <f>IFERROR('Cash Flow Data'!J19,0)</f>
        <v>272</v>
      </c>
      <c r="I84" s="16">
        <f>IFERROR('Cash Flow Data'!K19,0)</f>
        <v>207</v>
      </c>
      <c r="J84" s="16">
        <f>IFERROR('Cash Flow Data'!L19,0)</f>
        <v>446</v>
      </c>
      <c r="K84" s="16">
        <f>IFERROR('Cash Flow Data'!M19,0)</f>
        <v>240</v>
      </c>
      <c r="L84" s="16">
        <f>IFERROR('Cash Flow Data'!N19,0)</f>
        <v>421</v>
      </c>
    </row>
    <row r="85" spans="2:13" outlineLevel="1" x14ac:dyDescent="0.3">
      <c r="B85" t="s">
        <v>94</v>
      </c>
      <c r="C85" s="16">
        <f>IFERROR('Cash Flow Data'!E20,0)</f>
        <v>15</v>
      </c>
      <c r="D85" s="16">
        <f>IFERROR('Cash Flow Data'!F20,0)</f>
        <v>32</v>
      </c>
      <c r="E85" s="16">
        <f>IFERROR('Cash Flow Data'!G20,0)</f>
        <v>39</v>
      </c>
      <c r="F85" s="16">
        <f>IFERROR('Cash Flow Data'!H20,0)</f>
        <v>40</v>
      </c>
      <c r="G85" s="16">
        <f>IFERROR('Cash Flow Data'!I20,0)</f>
        <v>65</v>
      </c>
      <c r="H85" s="16">
        <f>IFERROR('Cash Flow Data'!J20,0)</f>
        <v>73</v>
      </c>
      <c r="I85" s="16">
        <f>IFERROR('Cash Flow Data'!K20,0)</f>
        <v>77</v>
      </c>
      <c r="J85" s="16">
        <f>IFERROR('Cash Flow Data'!L20,0)</f>
        <v>87</v>
      </c>
      <c r="K85" s="16">
        <f>IFERROR('Cash Flow Data'!M20,0)</f>
        <v>135</v>
      </c>
      <c r="L85" s="16">
        <f>IFERROR('Cash Flow Data'!N20,0)</f>
        <v>155</v>
      </c>
    </row>
    <row r="86" spans="2:13" outlineLevel="1" x14ac:dyDescent="0.3">
      <c r="B86" t="s">
        <v>95</v>
      </c>
      <c r="C86" s="16">
        <f>IFERROR('Cash Flow Data'!E21,0)</f>
        <v>69</v>
      </c>
      <c r="D86" s="16">
        <f>IFERROR('Cash Flow Data'!F21,0)</f>
        <v>74</v>
      </c>
      <c r="E86" s="16">
        <f>IFERROR('Cash Flow Data'!G21,0)</f>
        <v>38</v>
      </c>
      <c r="F86" s="16">
        <f>IFERROR('Cash Flow Data'!H21,0)</f>
        <v>40</v>
      </c>
      <c r="G86" s="16">
        <f>IFERROR('Cash Flow Data'!I21,0)</f>
        <v>27</v>
      </c>
      <c r="H86" s="16">
        <f>IFERROR('Cash Flow Data'!J21,0)</f>
        <v>8</v>
      </c>
      <c r="I86" s="16">
        <f>IFERROR('Cash Flow Data'!K21,0)</f>
        <v>15</v>
      </c>
      <c r="J86" s="16">
        <f>IFERROR('Cash Flow Data'!L21,0)</f>
        <v>56</v>
      </c>
      <c r="K86" s="16">
        <f>IFERROR('Cash Flow Data'!M21,0)</f>
        <v>129</v>
      </c>
      <c r="L86" s="16">
        <f>IFERROR('Cash Flow Data'!N21,0)</f>
        <v>136</v>
      </c>
    </row>
    <row r="87" spans="2:13" outlineLevel="1" x14ac:dyDescent="0.3">
      <c r="B87" t="s">
        <v>96</v>
      </c>
      <c r="C87" s="16">
        <f>IFERROR('Cash Flow Data'!E22,0)</f>
        <v>0</v>
      </c>
      <c r="D87" s="16">
        <f>IFERROR('Cash Flow Data'!F22,0)</f>
        <v>0</v>
      </c>
      <c r="E87" s="16">
        <f>IFERROR('Cash Flow Data'!G22,0)</f>
        <v>0</v>
      </c>
      <c r="F87" s="16">
        <f>IFERROR('Cash Flow Data'!H22,0)</f>
        <v>0</v>
      </c>
      <c r="G87" s="16">
        <f>IFERROR('Cash Flow Data'!I22,0)</f>
        <v>0</v>
      </c>
      <c r="H87" s="16">
        <f>IFERROR('Cash Flow Data'!J22,0)</f>
        <v>0</v>
      </c>
      <c r="I87" s="16">
        <f>IFERROR('Cash Flow Data'!K22,0)</f>
        <v>0</v>
      </c>
      <c r="J87" s="16">
        <f>IFERROR('Cash Flow Data'!L22,0)</f>
        <v>-180</v>
      </c>
      <c r="K87" s="16">
        <f>IFERROR('Cash Flow Data'!M22,0)</f>
        <v>0</v>
      </c>
      <c r="L87" s="16">
        <f>IFERROR('Cash Flow Data'!N22,0)</f>
        <v>0</v>
      </c>
    </row>
    <row r="88" spans="2:13" outlineLevel="1" x14ac:dyDescent="0.3">
      <c r="B88" t="s">
        <v>97</v>
      </c>
      <c r="C88" s="16">
        <f>IFERROR('Cash Flow Data'!E23,0)</f>
        <v>0</v>
      </c>
      <c r="D88" s="16">
        <f>IFERROR('Cash Flow Data'!F23,0)</f>
        <v>0</v>
      </c>
      <c r="E88" s="16">
        <f>IFERROR('Cash Flow Data'!G23,0)</f>
        <v>141</v>
      </c>
      <c r="F88" s="16">
        <f>IFERROR('Cash Flow Data'!H23,0)</f>
        <v>0</v>
      </c>
      <c r="G88" s="16">
        <f>IFERROR('Cash Flow Data'!I23,0)</f>
        <v>17</v>
      </c>
      <c r="H88" s="16">
        <f>IFERROR('Cash Flow Data'!J23,0)</f>
        <v>0</v>
      </c>
      <c r="I88" s="16">
        <f>IFERROR('Cash Flow Data'!K23,0)</f>
        <v>0</v>
      </c>
      <c r="J88" s="16">
        <f>IFERROR('Cash Flow Data'!L23,0)</f>
        <v>0</v>
      </c>
      <c r="K88" s="16">
        <f>IFERROR('Cash Flow Data'!M23,0)</f>
        <v>0</v>
      </c>
      <c r="L88" s="16">
        <f>IFERROR('Cash Flow Data'!N23,0)</f>
        <v>38</v>
      </c>
    </row>
    <row r="89" spans="2:13" outlineLevel="1" x14ac:dyDescent="0.3">
      <c r="B89" t="s">
        <v>98</v>
      </c>
      <c r="C89" s="16">
        <f>IFERROR('Cash Flow Data'!E24,0)</f>
        <v>0</v>
      </c>
      <c r="D89" s="16">
        <f>IFERROR('Cash Flow Data'!F24,0)</f>
        <v>0</v>
      </c>
      <c r="E89" s="16">
        <f>IFERROR('Cash Flow Data'!G24,0)</f>
        <v>-525</v>
      </c>
      <c r="F89" s="16">
        <f>IFERROR('Cash Flow Data'!H24,0)</f>
        <v>0</v>
      </c>
      <c r="G89" s="16">
        <f>IFERROR('Cash Flow Data'!I24,0)</f>
        <v>0</v>
      </c>
      <c r="H89" s="16">
        <f>IFERROR('Cash Flow Data'!J24,0)</f>
        <v>0</v>
      </c>
      <c r="I89" s="16">
        <f>IFERROR('Cash Flow Data'!K24,0)</f>
        <v>0</v>
      </c>
      <c r="J89" s="16">
        <f>IFERROR('Cash Flow Data'!L24,0)</f>
        <v>0</v>
      </c>
      <c r="K89" s="16">
        <f>IFERROR('Cash Flow Data'!M24,0)</f>
        <v>0</v>
      </c>
      <c r="L89" s="16">
        <f>IFERROR('Cash Flow Data'!N24,0)</f>
        <v>0</v>
      </c>
    </row>
    <row r="90" spans="2:13" outlineLevel="1" x14ac:dyDescent="0.3">
      <c r="B90" t="s">
        <v>99</v>
      </c>
      <c r="C90" s="16">
        <f>IFERROR('Cash Flow Data'!E25,0)</f>
        <v>-70</v>
      </c>
      <c r="D90" s="16">
        <f>IFERROR('Cash Flow Data'!F25,0)</f>
        <v>-324</v>
      </c>
      <c r="E90" s="16">
        <f>IFERROR('Cash Flow Data'!G25,0)</f>
        <v>118</v>
      </c>
      <c r="F90" s="16">
        <f>IFERROR('Cash Flow Data'!H25,0)</f>
        <v>-24</v>
      </c>
      <c r="G90" s="16">
        <f>IFERROR('Cash Flow Data'!I25,0)</f>
        <v>-343</v>
      </c>
      <c r="H90" s="16">
        <f>IFERROR('Cash Flow Data'!J25,0)</f>
        <v>-493</v>
      </c>
      <c r="I90" s="16">
        <f>IFERROR('Cash Flow Data'!K25,0)</f>
        <v>-105</v>
      </c>
      <c r="J90" s="16">
        <f>IFERROR('Cash Flow Data'!L25,0)</f>
        <v>-126</v>
      </c>
      <c r="K90" s="16">
        <f>IFERROR('Cash Flow Data'!M25,0)</f>
        <v>-350</v>
      </c>
      <c r="L90" s="16">
        <f>IFERROR('Cash Flow Data'!N25,0)</f>
        <v>130</v>
      </c>
    </row>
    <row r="91" spans="2:13" outlineLevel="1" x14ac:dyDescent="0.3">
      <c r="B91" s="27" t="s">
        <v>111</v>
      </c>
      <c r="C91" s="28">
        <f>SUM(C81:C90)</f>
        <v>-865</v>
      </c>
      <c r="D91" s="28">
        <f t="shared" ref="D91:L91" si="25">SUM(D81:D90)</f>
        <v>-681</v>
      </c>
      <c r="E91" s="28">
        <f t="shared" si="25"/>
        <v>-1556</v>
      </c>
      <c r="F91" s="28">
        <f t="shared" si="25"/>
        <v>-918</v>
      </c>
      <c r="G91" s="28">
        <f t="shared" si="25"/>
        <v>-518</v>
      </c>
      <c r="H91" s="28">
        <f t="shared" si="25"/>
        <v>-541</v>
      </c>
      <c r="I91" s="28">
        <f t="shared" si="25"/>
        <v>-317</v>
      </c>
      <c r="J91" s="28">
        <f t="shared" si="25"/>
        <v>-1283</v>
      </c>
      <c r="K91" s="28">
        <f t="shared" si="25"/>
        <v>-2549</v>
      </c>
      <c r="L91" s="28">
        <f t="shared" si="25"/>
        <v>-941</v>
      </c>
      <c r="M91" s="2"/>
    </row>
    <row r="92" spans="2:13" outlineLevel="1" x14ac:dyDescent="0.3"/>
    <row r="93" spans="2:13" outlineLevel="1" x14ac:dyDescent="0.3">
      <c r="B93" s="2" t="s">
        <v>109</v>
      </c>
    </row>
    <row r="94" spans="2:13" outlineLevel="1" x14ac:dyDescent="0.3">
      <c r="B94" t="s">
        <v>100</v>
      </c>
      <c r="C94" s="16">
        <f>IFERROR('Cash Flow Data'!E29,0)</f>
        <v>0</v>
      </c>
      <c r="D94" s="16">
        <f>IFERROR('Cash Flow Data'!F29,0)</f>
        <v>0</v>
      </c>
      <c r="E94" s="16">
        <f>IFERROR('Cash Flow Data'!G29,0)</f>
        <v>0</v>
      </c>
      <c r="F94" s="16">
        <f>IFERROR('Cash Flow Data'!H29,0)</f>
        <v>0</v>
      </c>
      <c r="G94" s="16">
        <f>IFERROR('Cash Flow Data'!I29,0)</f>
        <v>0</v>
      </c>
      <c r="H94" s="16">
        <f>IFERROR('Cash Flow Data'!J29,0)</f>
        <v>0</v>
      </c>
      <c r="I94" s="16">
        <f>IFERROR('Cash Flow Data'!K29,0)</f>
        <v>0</v>
      </c>
      <c r="J94" s="16">
        <f>IFERROR('Cash Flow Data'!L29,0)</f>
        <v>0</v>
      </c>
      <c r="K94" s="16">
        <f>IFERROR('Cash Flow Data'!M29,0)</f>
        <v>1</v>
      </c>
      <c r="L94" s="16">
        <f>IFERROR('Cash Flow Data'!N29,0)</f>
        <v>0</v>
      </c>
    </row>
    <row r="95" spans="2:13" outlineLevel="1" x14ac:dyDescent="0.3">
      <c r="B95" t="s">
        <v>101</v>
      </c>
      <c r="C95" s="16">
        <f>IFERROR('Cash Flow Data'!E30,0)</f>
        <v>8</v>
      </c>
      <c r="D95" s="16">
        <f>IFERROR('Cash Flow Data'!F30,0)</f>
        <v>271</v>
      </c>
      <c r="E95" s="16">
        <f>IFERROR('Cash Flow Data'!G30,0)</f>
        <v>10</v>
      </c>
      <c r="F95" s="16">
        <f>IFERROR('Cash Flow Data'!H30,0)</f>
        <v>243</v>
      </c>
      <c r="G95" s="16">
        <f>IFERROR('Cash Flow Data'!I30,0)</f>
        <v>221</v>
      </c>
      <c r="H95" s="16">
        <f>IFERROR('Cash Flow Data'!J30,0)</f>
        <v>155</v>
      </c>
      <c r="I95" s="16">
        <f>IFERROR('Cash Flow Data'!K30,0)</f>
        <v>418</v>
      </c>
      <c r="J95" s="16">
        <f>IFERROR('Cash Flow Data'!L30,0)</f>
        <v>254</v>
      </c>
      <c r="K95" s="16">
        <f>IFERROR('Cash Flow Data'!M30,0)</f>
        <v>101</v>
      </c>
      <c r="L95" s="16">
        <f>IFERROR('Cash Flow Data'!N30,0)</f>
        <v>415</v>
      </c>
    </row>
    <row r="96" spans="2:13" outlineLevel="1" x14ac:dyDescent="0.3">
      <c r="B96" t="s">
        <v>102</v>
      </c>
      <c r="C96" s="16">
        <f>IFERROR('Cash Flow Data'!E31,0)</f>
        <v>-119</v>
      </c>
      <c r="D96" s="16">
        <f>IFERROR('Cash Flow Data'!F31,0)</f>
        <v>-58</v>
      </c>
      <c r="E96" s="16">
        <f>IFERROR('Cash Flow Data'!G31,0)</f>
        <v>-54</v>
      </c>
      <c r="F96" s="16">
        <f>IFERROR('Cash Flow Data'!H31,0)</f>
        <v>-26</v>
      </c>
      <c r="G96" s="16">
        <f>IFERROR('Cash Flow Data'!I31,0)</f>
        <v>-279</v>
      </c>
      <c r="H96" s="16">
        <f>IFERROR('Cash Flow Data'!J31,0)</f>
        <v>-14</v>
      </c>
      <c r="I96" s="16">
        <f>IFERROR('Cash Flow Data'!K31,0)</f>
        <v>-8</v>
      </c>
      <c r="J96" s="16">
        <f>IFERROR('Cash Flow Data'!L31,0)</f>
        <v>-25</v>
      </c>
      <c r="K96" s="16">
        <f>IFERROR('Cash Flow Data'!M31,0)</f>
        <v>-98</v>
      </c>
      <c r="L96" s="16">
        <f>IFERROR('Cash Flow Data'!N31,0)</f>
        <v>-428</v>
      </c>
    </row>
    <row r="97" spans="1:14" outlineLevel="1" x14ac:dyDescent="0.3">
      <c r="B97" t="s">
        <v>103</v>
      </c>
      <c r="C97" s="16">
        <f>IFERROR('Cash Flow Data'!E32,0)</f>
        <v>-40</v>
      </c>
      <c r="D97" s="16">
        <f>IFERROR('Cash Flow Data'!F32,0)</f>
        <v>-36</v>
      </c>
      <c r="E97" s="16">
        <f>IFERROR('Cash Flow Data'!G32,0)</f>
        <v>-35</v>
      </c>
      <c r="F97" s="16">
        <f>IFERROR('Cash Flow Data'!H32,0)</f>
        <v>-106</v>
      </c>
      <c r="G97" s="16">
        <f>IFERROR('Cash Flow Data'!I32,0)</f>
        <v>-101</v>
      </c>
      <c r="H97" s="16">
        <f>IFERROR('Cash Flow Data'!J32,0)</f>
        <v>-89</v>
      </c>
      <c r="I97" s="16">
        <f>IFERROR('Cash Flow Data'!K32,0)</f>
        <v>-94</v>
      </c>
      <c r="J97" s="16">
        <f>IFERROR('Cash Flow Data'!L32,0)</f>
        <v>-142</v>
      </c>
      <c r="K97" s="16">
        <f>IFERROR('Cash Flow Data'!M32,0)</f>
        <v>-191</v>
      </c>
      <c r="L97" s="16">
        <f>IFERROR('Cash Flow Data'!N32,0)</f>
        <v>-203</v>
      </c>
    </row>
    <row r="98" spans="1:14" outlineLevel="1" x14ac:dyDescent="0.3">
      <c r="B98" t="s">
        <v>104</v>
      </c>
      <c r="C98" s="16">
        <f>IFERROR('Cash Flow Data'!E33,0)</f>
        <v>-764</v>
      </c>
      <c r="D98" s="16">
        <f>IFERROR('Cash Flow Data'!F33,0)</f>
        <v>-947</v>
      </c>
      <c r="E98" s="16">
        <f>IFERROR('Cash Flow Data'!G33,0)</f>
        <v>-1218</v>
      </c>
      <c r="F98" s="16">
        <f>IFERROR('Cash Flow Data'!H33,0)</f>
        <v>-1049</v>
      </c>
      <c r="G98" s="16">
        <f>IFERROR('Cash Flow Data'!I33,0)</f>
        <v>-2121</v>
      </c>
      <c r="H98" s="16">
        <f>IFERROR('Cash Flow Data'!J33,0)</f>
        <v>-499</v>
      </c>
      <c r="I98" s="16">
        <f>IFERROR('Cash Flow Data'!K33,0)</f>
        <v>-1763</v>
      </c>
      <c r="J98" s="16">
        <f>IFERROR('Cash Flow Data'!L33,0)</f>
        <v>-1936</v>
      </c>
      <c r="K98" s="16">
        <f>IFERROR('Cash Flow Data'!M33,0)</f>
        <v>-2551</v>
      </c>
      <c r="L98" s="16">
        <f>IFERROR('Cash Flow Data'!N33,0)</f>
        <v>-3140</v>
      </c>
    </row>
    <row r="99" spans="1:14" outlineLevel="1" x14ac:dyDescent="0.3">
      <c r="B99" t="s">
        <v>105</v>
      </c>
      <c r="C99" s="16">
        <f>IFERROR('Cash Flow Data'!E34,0)</f>
        <v>0</v>
      </c>
      <c r="D99" s="16">
        <f>IFERROR('Cash Flow Data'!F34,0)</f>
        <v>0</v>
      </c>
      <c r="E99" s="16">
        <f>IFERROR('Cash Flow Data'!G34,0)</f>
        <v>0</v>
      </c>
      <c r="F99" s="16">
        <f>IFERROR('Cash Flow Data'!H34,0)</f>
        <v>-180</v>
      </c>
      <c r="G99" s="16">
        <f>IFERROR('Cash Flow Data'!I34,0)</f>
        <v>-179</v>
      </c>
      <c r="H99" s="16">
        <f>IFERROR('Cash Flow Data'!J34,0)</f>
        <v>-203</v>
      </c>
      <c r="I99" s="16">
        <f>IFERROR('Cash Flow Data'!K34,0)</f>
        <v>-221</v>
      </c>
      <c r="J99" s="16">
        <f>IFERROR('Cash Flow Data'!L34,0)</f>
        <v>-256</v>
      </c>
      <c r="K99" s="16">
        <f>IFERROR('Cash Flow Data'!M34,0)</f>
        <v>-286</v>
      </c>
      <c r="L99" s="16">
        <f>IFERROR('Cash Flow Data'!N34,0)</f>
        <v>-325</v>
      </c>
    </row>
    <row r="100" spans="1:14" outlineLevel="1" x14ac:dyDescent="0.3">
      <c r="B100" t="s">
        <v>106</v>
      </c>
      <c r="C100" s="16">
        <f>IFERROR('Cash Flow Data'!E35,0)</f>
        <v>66</v>
      </c>
      <c r="D100" s="16">
        <f>IFERROR('Cash Flow Data'!F35,0)</f>
        <v>13</v>
      </c>
      <c r="E100" s="16">
        <f>IFERROR('Cash Flow Data'!G35,0)</f>
        <v>-82</v>
      </c>
      <c r="F100" s="16">
        <f>IFERROR('Cash Flow Data'!H35,0)</f>
        <v>0</v>
      </c>
      <c r="G100" s="16">
        <f>IFERROR('Cash Flow Data'!I35,0)</f>
        <v>-6</v>
      </c>
      <c r="H100" s="16">
        <f>IFERROR('Cash Flow Data'!J35,0)</f>
        <v>0</v>
      </c>
      <c r="I100" s="16">
        <f>IFERROR('Cash Flow Data'!K35,0)</f>
        <v>-140</v>
      </c>
      <c r="J100" s="16">
        <f>IFERROR('Cash Flow Data'!L35,0)</f>
        <v>-36</v>
      </c>
      <c r="K100" s="16">
        <f>IFERROR('Cash Flow Data'!M35,0)</f>
        <v>41</v>
      </c>
      <c r="L100" s="16">
        <f>IFERROR('Cash Flow Data'!N35,0)</f>
        <v>-72</v>
      </c>
    </row>
    <row r="101" spans="1:14" outlineLevel="1" x14ac:dyDescent="0.3">
      <c r="B101" s="27" t="s">
        <v>116</v>
      </c>
      <c r="C101" s="28">
        <f>SUM(C94:C100)</f>
        <v>-849</v>
      </c>
      <c r="D101" s="28">
        <f t="shared" ref="D101:L101" si="26">SUM(D94:D100)</f>
        <v>-757</v>
      </c>
      <c r="E101" s="28">
        <f t="shared" si="26"/>
        <v>-1379</v>
      </c>
      <c r="F101" s="28">
        <f t="shared" si="26"/>
        <v>-1118</v>
      </c>
      <c r="G101" s="28">
        <f t="shared" si="26"/>
        <v>-2465</v>
      </c>
      <c r="H101" s="28">
        <f t="shared" si="26"/>
        <v>-650</v>
      </c>
      <c r="I101" s="28">
        <f t="shared" si="26"/>
        <v>-1808</v>
      </c>
      <c r="J101" s="28">
        <f t="shared" si="26"/>
        <v>-2141</v>
      </c>
      <c r="K101" s="28">
        <f t="shared" si="26"/>
        <v>-2983</v>
      </c>
      <c r="L101" s="28">
        <f t="shared" si="26"/>
        <v>-3753</v>
      </c>
    </row>
    <row r="102" spans="1:14" outlineLevel="1" x14ac:dyDescent="0.3">
      <c r="C102" s="16"/>
      <c r="D102" s="16"/>
      <c r="E102" s="16"/>
      <c r="F102" s="16"/>
      <c r="G102" s="16"/>
      <c r="H102" s="16"/>
      <c r="I102" s="16"/>
      <c r="J102" s="16"/>
      <c r="K102" s="16"/>
      <c r="L102" s="16"/>
    </row>
    <row r="103" spans="1:14" outlineLevel="1" x14ac:dyDescent="0.3">
      <c r="B103" s="2" t="s">
        <v>107</v>
      </c>
      <c r="C103" s="21">
        <f>IFERROR(C78+C91+C101,0)</f>
        <v>728</v>
      </c>
      <c r="D103" s="21">
        <f t="shared" ref="D103:L103" si="27">IFERROR(D78+D91+D101,0)</f>
        <v>-513</v>
      </c>
      <c r="E103" s="21">
        <f t="shared" si="27"/>
        <v>-902</v>
      </c>
      <c r="F103" s="21">
        <f t="shared" si="27"/>
        <v>23</v>
      </c>
      <c r="G103" s="21">
        <f t="shared" si="27"/>
        <v>-1089</v>
      </c>
      <c r="H103" s="21">
        <f t="shared" si="27"/>
        <v>2286</v>
      </c>
      <c r="I103" s="21">
        <f t="shared" si="27"/>
        <v>-3933</v>
      </c>
      <c r="J103" s="21">
        <f t="shared" si="27"/>
        <v>-2</v>
      </c>
      <c r="K103" s="21">
        <f t="shared" si="27"/>
        <v>582</v>
      </c>
      <c r="L103" s="21">
        <f t="shared" si="27"/>
        <v>-839</v>
      </c>
    </row>
    <row r="105" spans="1:14" x14ac:dyDescent="0.3">
      <c r="A105" s="22" t="s">
        <v>58</v>
      </c>
      <c r="B105" s="19" t="s">
        <v>117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</row>
    <row r="106" spans="1:14" outlineLevel="1" x14ac:dyDescent="0.3"/>
    <row r="107" spans="1:14" outlineLevel="1" x14ac:dyDescent="0.3">
      <c r="B107" t="s">
        <v>114</v>
      </c>
      <c r="C107" s="16">
        <f>C78</f>
        <v>2442</v>
      </c>
      <c r="D107" s="16">
        <f t="shared" ref="D107:L107" si="28">D78</f>
        <v>925</v>
      </c>
      <c r="E107" s="16">
        <f t="shared" si="28"/>
        <v>2033</v>
      </c>
      <c r="F107" s="16">
        <f t="shared" si="28"/>
        <v>2059</v>
      </c>
      <c r="G107" s="16">
        <f t="shared" si="28"/>
        <v>1894</v>
      </c>
      <c r="H107" s="16">
        <f t="shared" si="28"/>
        <v>3477</v>
      </c>
      <c r="I107" s="16">
        <f t="shared" si="28"/>
        <v>-1808</v>
      </c>
      <c r="J107" s="16">
        <f t="shared" si="28"/>
        <v>3422</v>
      </c>
      <c r="K107" s="16">
        <f t="shared" si="28"/>
        <v>6114</v>
      </c>
      <c r="L107" s="16">
        <f t="shared" si="28"/>
        <v>3855</v>
      </c>
      <c r="M107" s="16"/>
    </row>
    <row r="108" spans="1:14" outlineLevel="1" x14ac:dyDescent="0.3"/>
    <row r="109" spans="1:14" outlineLevel="1" x14ac:dyDescent="0.3">
      <c r="B109" t="s">
        <v>111</v>
      </c>
      <c r="C109" s="16">
        <f>C91</f>
        <v>-865</v>
      </c>
      <c r="D109" s="16">
        <f t="shared" ref="D109:L109" si="29">D91</f>
        <v>-681</v>
      </c>
      <c r="E109" s="16">
        <f t="shared" si="29"/>
        <v>-1556</v>
      </c>
      <c r="F109" s="16">
        <f t="shared" si="29"/>
        <v>-918</v>
      </c>
      <c r="G109" s="16">
        <f t="shared" si="29"/>
        <v>-518</v>
      </c>
      <c r="H109" s="16">
        <f t="shared" si="29"/>
        <v>-541</v>
      </c>
      <c r="I109" s="16">
        <f t="shared" si="29"/>
        <v>-317</v>
      </c>
      <c r="J109" s="16">
        <f t="shared" si="29"/>
        <v>-1283</v>
      </c>
      <c r="K109" s="16">
        <f t="shared" si="29"/>
        <v>-2549</v>
      </c>
      <c r="L109" s="16">
        <f t="shared" si="29"/>
        <v>-941</v>
      </c>
      <c r="M109" s="21"/>
      <c r="N109" s="21"/>
    </row>
    <row r="110" spans="1:14" outlineLevel="1" x14ac:dyDescent="0.3"/>
    <row r="111" spans="1:14" outlineLevel="1" x14ac:dyDescent="0.3">
      <c r="B111" t="s">
        <v>116</v>
      </c>
      <c r="C111" s="16">
        <f>C101</f>
        <v>-849</v>
      </c>
      <c r="D111" s="16">
        <f t="shared" ref="D111:L111" si="30">D101</f>
        <v>-757</v>
      </c>
      <c r="E111" s="16">
        <f t="shared" si="30"/>
        <v>-1379</v>
      </c>
      <c r="F111" s="16">
        <f t="shared" si="30"/>
        <v>-1118</v>
      </c>
      <c r="G111" s="16">
        <f t="shared" si="30"/>
        <v>-2465</v>
      </c>
      <c r="H111" s="16">
        <f t="shared" si="30"/>
        <v>-650</v>
      </c>
      <c r="I111" s="16">
        <f t="shared" si="30"/>
        <v>-1808</v>
      </c>
      <c r="J111" s="16">
        <f t="shared" si="30"/>
        <v>-2141</v>
      </c>
      <c r="K111" s="16">
        <f t="shared" si="30"/>
        <v>-2983</v>
      </c>
      <c r="L111" s="16">
        <f t="shared" si="30"/>
        <v>-3753</v>
      </c>
    </row>
    <row r="112" spans="1:14" outlineLevel="1" x14ac:dyDescent="0.3"/>
    <row r="113" spans="2:12" outlineLevel="1" x14ac:dyDescent="0.3">
      <c r="B113" s="32" t="s">
        <v>107</v>
      </c>
      <c r="C113" s="33">
        <f>SUM(C107:C111)</f>
        <v>728</v>
      </c>
      <c r="D113" s="33">
        <f t="shared" ref="D113:L113" si="31">SUM(D107:D111)</f>
        <v>-513</v>
      </c>
      <c r="E113" s="33">
        <f t="shared" si="31"/>
        <v>-902</v>
      </c>
      <c r="F113" s="33">
        <f t="shared" si="31"/>
        <v>23</v>
      </c>
      <c r="G113" s="33">
        <f t="shared" si="31"/>
        <v>-1089</v>
      </c>
      <c r="H113" s="33">
        <f t="shared" si="31"/>
        <v>2286</v>
      </c>
      <c r="I113" s="33">
        <f t="shared" si="31"/>
        <v>-3933</v>
      </c>
      <c r="J113" s="33">
        <f t="shared" si="31"/>
        <v>-2</v>
      </c>
      <c r="K113" s="33">
        <f t="shared" si="31"/>
        <v>582</v>
      </c>
      <c r="L113" s="33">
        <f t="shared" si="31"/>
        <v>-839</v>
      </c>
    </row>
  </sheetData>
  <mergeCells count="1">
    <mergeCell ref="B2:M2"/>
  </mergeCells>
  <pageMargins left="0.7" right="3.96" top="0.75" bottom="1.8" header="0.3" footer="0.26"/>
  <pageSetup paperSize="3" orientation="landscape" r:id="rId1"/>
  <ignoredErrors>
    <ignoredError sqref="M6 C15:L15 M21 M18 M30 C57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8BF98-3E8F-4970-AF2E-A6F7190CAC02}">
  <dimension ref="B2:O42"/>
  <sheetViews>
    <sheetView showGridLines="0" zoomScaleNormal="100" workbookViewId="0">
      <selection activeCell="J47" sqref="J47"/>
    </sheetView>
  </sheetViews>
  <sheetFormatPr defaultRowHeight="14.4" x14ac:dyDescent="0.3"/>
  <cols>
    <col min="1" max="1" width="1.88671875" customWidth="1"/>
    <col min="2" max="2" width="26.77734375" customWidth="1"/>
    <col min="3" max="12" width="10.77734375" customWidth="1"/>
    <col min="13" max="13" width="14.44140625" customWidth="1"/>
    <col min="14" max="14" width="10" customWidth="1"/>
  </cols>
  <sheetData>
    <row r="2" spans="2:15" x14ac:dyDescent="0.3">
      <c r="B2" s="236" t="str">
        <f>"Ratio Analysis - "&amp;'Data Sheet'!B1</f>
        <v>Ratio Analysis - ASIAN PAINTS LTD</v>
      </c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</row>
    <row r="3" spans="2:15" x14ac:dyDescent="0.3">
      <c r="B3" s="11" t="s">
        <v>55</v>
      </c>
      <c r="C3" s="12">
        <f>'Data Sheet'!B16</f>
        <v>42460</v>
      </c>
      <c r="D3" s="12">
        <f>'Data Sheet'!C16</f>
        <v>42825</v>
      </c>
      <c r="E3" s="12">
        <f>'Data Sheet'!D16</f>
        <v>43190</v>
      </c>
      <c r="F3" s="12">
        <f>'Data Sheet'!E16</f>
        <v>43555</v>
      </c>
      <c r="G3" s="12">
        <f>'Data Sheet'!F16</f>
        <v>43921</v>
      </c>
      <c r="H3" s="12">
        <f>'Data Sheet'!G16</f>
        <v>44286</v>
      </c>
      <c r="I3" s="12">
        <f>'Data Sheet'!H16</f>
        <v>44651</v>
      </c>
      <c r="J3" s="12">
        <f>'Data Sheet'!I16</f>
        <v>45016</v>
      </c>
      <c r="K3" s="12">
        <f>'Data Sheet'!J16</f>
        <v>45382</v>
      </c>
      <c r="L3" s="12">
        <f>'Data Sheet'!K16</f>
        <v>45747</v>
      </c>
      <c r="M3" s="47" t="s">
        <v>149</v>
      </c>
      <c r="N3" s="12" t="s">
        <v>147</v>
      </c>
      <c r="O3" s="12" t="s">
        <v>148</v>
      </c>
    </row>
    <row r="4" spans="2:15" x14ac:dyDescent="0.3">
      <c r="O4" t="s">
        <v>148</v>
      </c>
    </row>
    <row r="5" spans="2:15" x14ac:dyDescent="0.3">
      <c r="B5" s="35" t="s">
        <v>119</v>
      </c>
      <c r="C5" s="35"/>
      <c r="D5" s="36">
        <f>IFERROR('Historical FS '!D7,0)</f>
        <v>5.5390151974320734E-2</v>
      </c>
      <c r="E5" s="36">
        <f>IFERROR('Historical FS '!E7,0)</f>
        <v>0.11702039371955486</v>
      </c>
      <c r="F5" s="36">
        <f>IFERROR('Historical FS '!F7,0)</f>
        <v>0.14357471670861943</v>
      </c>
      <c r="G5" s="36">
        <f>IFERROR('Historical FS '!G7,0)</f>
        <v>5.0473671435691925E-2</v>
      </c>
      <c r="H5" s="36">
        <f>IFERROR('Historical FS '!H7,0)</f>
        <v>7.4292287711052118E-2</v>
      </c>
      <c r="I5" s="36">
        <f>IFERROR('Historical FS '!I7,0)</f>
        <v>0.34028284711453471</v>
      </c>
      <c r="J5" s="36">
        <f>IFERROR('Historical FS '!J7,0)</f>
        <v>0.18512278497715551</v>
      </c>
      <c r="K5" s="36">
        <f>IFERROR('Historical FS '!K7,0)</f>
        <v>2.9173126532572313E-2</v>
      </c>
      <c r="L5" s="36">
        <f>IFERROR('Historical FS '!L7,0)</f>
        <v>-4.4770308155605121E-2</v>
      </c>
      <c r="M5" s="35"/>
      <c r="N5" s="39">
        <f>IFERROR(AVERAGE(D5:L5),0)</f>
        <v>0.10561774133532183</v>
      </c>
      <c r="O5" s="39">
        <f>IFERROR(MEDIAN(D5:L5),0)</f>
        <v>7.4292287711052118E-2</v>
      </c>
    </row>
    <row r="6" spans="2:15" x14ac:dyDescent="0.3">
      <c r="B6" t="s">
        <v>120</v>
      </c>
      <c r="D6" s="17">
        <f>IFERROR('Historical FS '!C13,0)</f>
        <v>0.34037441080083447</v>
      </c>
      <c r="E6" s="17">
        <f>IFERROR('Historical FS '!D13,0)</f>
        <v>0.35382642001488518</v>
      </c>
      <c r="F6" s="17">
        <f>IFERROR('Historical FS '!E13,0)</f>
        <v>0.33465263558312119</v>
      </c>
      <c r="G6" s="17">
        <f>IFERROR('Historical FS '!F13,0)</f>
        <v>0.3292243867375117</v>
      </c>
      <c r="H6" s="17">
        <f>IFERROR('Historical FS '!G13,0)</f>
        <v>0.34812740429216393</v>
      </c>
      <c r="I6" s="17">
        <f>IFERROR('Historical FS '!H13,0)</f>
        <v>0.35360356729835285</v>
      </c>
      <c r="J6" s="17">
        <f>IFERROR('Historical FS '!I13,0)</f>
        <v>0.29245139732685294</v>
      </c>
      <c r="K6" s="17">
        <f>IFERROR('Historical FS '!J13,0)</f>
        <v>0.31088223670495074</v>
      </c>
      <c r="L6" s="17">
        <f>IFERROR('Historical FS '!K13,0)</f>
        <v>0.35173503221464147</v>
      </c>
      <c r="N6" s="40">
        <f t="shared" ref="N6:N11" si="0">IFERROR(AVERAGE(D6:L6),0)</f>
        <v>0.33498638788592383</v>
      </c>
      <c r="O6" s="40">
        <f t="shared" ref="O6:O11" si="1">IFERROR(MEDIAN(D6:L6),0)</f>
        <v>0.34037441080083447</v>
      </c>
    </row>
    <row r="7" spans="2:15" x14ac:dyDescent="0.3">
      <c r="B7" t="s">
        <v>121</v>
      </c>
      <c r="D7" s="17">
        <f>IFERROR('Historical FS '!D18/'Historical FS '!C18-1,0)</f>
        <v>9.861139652995865E-2</v>
      </c>
      <c r="E7" s="17">
        <f>IFERROR('Historical FS '!E18/'Historical FS '!D18-1,0)</f>
        <v>7.0229410507188561E-2</v>
      </c>
      <c r="F7" s="17">
        <f>IFERROR('Historical FS '!F18/'Historical FS '!E18-1,0)</f>
        <v>0.17507123885381137</v>
      </c>
      <c r="G7" s="17">
        <f>IFERROR('Historical FS '!G18/'Historical FS '!F18-1,0)</f>
        <v>0.10689413377105517</v>
      </c>
      <c r="H7" s="17">
        <f>IFERROR('Historical FS '!H18/'Historical FS '!G18-1,0)</f>
        <v>0.16514173139543109</v>
      </c>
      <c r="I7" s="17">
        <f>IFERROR('Historical FS '!I18/'Historical FS '!H18-1,0)</f>
        <v>-1.0707224647830249E-2</v>
      </c>
      <c r="J7" s="17">
        <f>IFERROR('Historical FS '!J18/'Historical FS '!I18-1,0)</f>
        <v>0.3031532534906034</v>
      </c>
      <c r="K7" s="17">
        <f>IFERROR('Historical FS '!K18/'Historical FS '!J18-1,0)</f>
        <v>0.21168911665473988</v>
      </c>
      <c r="L7" s="17">
        <f>IFERROR('Historical FS '!L18/'Historical FS '!K18-1,0)</f>
        <v>-0.20814425351154509</v>
      </c>
      <c r="N7" s="40">
        <f t="shared" si="0"/>
        <v>0.1013265336714903</v>
      </c>
      <c r="O7" s="40">
        <f t="shared" si="1"/>
        <v>0.10689413377105517</v>
      </c>
    </row>
    <row r="8" spans="2:15" x14ac:dyDescent="0.3">
      <c r="B8" t="s">
        <v>122</v>
      </c>
      <c r="D8" s="17">
        <f>IFERROR(('Historical FS '!D18-'Historical FS '!D24)/('Historical FS '!C18-'Historical FS '!C24)-1,0)</f>
        <v>8.5533137916111501E-2</v>
      </c>
      <c r="E8" s="17">
        <f>IFERROR(('Historical FS '!E18-'Historical FS '!E24)/('Historical FS '!D18-'Historical FS '!D24)-1,0)</f>
        <v>6.9414096435838069E-2</v>
      </c>
      <c r="F8" s="17">
        <f>IFERROR(('Historical FS '!F18-'Historical FS '!F24)/('Historical FS '!E18-'Historical FS '!E24)-1,0)</f>
        <v>0.10524205743545045</v>
      </c>
      <c r="G8" s="17">
        <f>IFERROR(('Historical FS '!G18-'Historical FS '!G24)/('Historical FS '!F18-'Historical FS '!F24)-1,0)</f>
        <v>7.766641211658265E-2</v>
      </c>
      <c r="H8" s="17">
        <f>IFERROR(('Historical FS '!H18-'Historical FS '!H24)/('Historical FS '!G18-'Historical FS '!G24)-1,0)</f>
        <v>0.20001830587943692</v>
      </c>
      <c r="I8" s="17">
        <f>IFERROR(('Historical FS '!I18-'Historical FS '!I24)/('Historical FS '!H18-'Historical FS '!H24)-1,0)</f>
        <v>-1.896499546050745E-2</v>
      </c>
      <c r="J8" s="17">
        <f>IFERROR(('Historical FS '!J18-'Historical FS '!J24)/('Historical FS '!I18-'Historical FS '!I24)-1,0)</f>
        <v>0.35477334002131733</v>
      </c>
      <c r="K8" s="17">
        <f>IFERROR(('Historical FS '!K18-'Historical FS '!K24)/('Historical FS '!J18-'Historical FS '!J24)-1,0)</f>
        <v>0.2462429329374185</v>
      </c>
      <c r="L8" s="17">
        <f>IFERROR(('Historical FS '!L18-'Historical FS '!L24)/('Historical FS '!K18-'Historical FS '!K24)-1,0)</f>
        <v>-0.26026666745890503</v>
      </c>
      <c r="N8" s="40">
        <f t="shared" si="0"/>
        <v>9.5517624424749231E-2</v>
      </c>
      <c r="O8" s="40">
        <f t="shared" si="1"/>
        <v>8.5533137916111501E-2</v>
      </c>
    </row>
    <row r="9" spans="2:15" x14ac:dyDescent="0.3">
      <c r="B9" t="s">
        <v>150</v>
      </c>
      <c r="D9" s="17">
        <f>IFERROR('Historical FS '!D27/'Historical FS '!C27-1,9)</f>
        <v>9.2140673037667264E-2</v>
      </c>
      <c r="E9" s="17">
        <f>IFERROR('Historical FS '!E27/'Historical FS '!D27-1,9)</f>
        <v>6.8823331960147449E-2</v>
      </c>
      <c r="F9" s="17">
        <f>IFERROR('Historical FS '!F27/'Historical FS '!E27-1,9)</f>
        <v>8.2174963509120014E-2</v>
      </c>
      <c r="G9" s="17">
        <f>IFERROR('Historical FS '!G27/'Historical FS '!F27-1,9)</f>
        <v>8.1326900436296867E-2</v>
      </c>
      <c r="H9" s="17">
        <f>IFERROR('Historical FS '!H27/'Historical FS '!G27-1,9)</f>
        <v>0.21158057177014689</v>
      </c>
      <c r="I9" s="17">
        <f>IFERROR('Historical FS '!I27/'Historical FS '!H27-1,9)</f>
        <v>-2.0353915473104944E-2</v>
      </c>
      <c r="J9" s="17">
        <f>IFERROR('Historical FS '!J27/'Historical FS '!I27-1,9)</f>
        <v>0.35087002548922808</v>
      </c>
      <c r="K9" s="17">
        <f>IFERROR('Historical FS '!K27/'Historical FS '!J27-1,9)</f>
        <v>0.24145913260813057</v>
      </c>
      <c r="L9" s="17">
        <f>IFERROR('Historical FS '!L27/'Historical FS '!K27-1,9)</f>
        <v>-0.2717958696514835</v>
      </c>
      <c r="N9" s="40">
        <f t="shared" si="0"/>
        <v>9.2913979298460958E-2</v>
      </c>
      <c r="O9" s="40">
        <f t="shared" si="1"/>
        <v>8.2174963509120014E-2</v>
      </c>
    </row>
    <row r="10" spans="2:15" x14ac:dyDescent="0.3">
      <c r="B10" t="s">
        <v>123</v>
      </c>
      <c r="D10" s="17">
        <f>IFERROR('Historical FS '!D33/'Historical FS '!C33-1,0)</f>
        <v>7.8651902028958665E-2</v>
      </c>
      <c r="E10" s="17">
        <f>IFERROR('Historical FS '!E33/'Historical FS '!D33-1,0)</f>
        <v>4.9310334554771407E-2</v>
      </c>
      <c r="F10" s="17">
        <f>IFERROR('Historical FS '!F33/'Historical FS '!E33-1,0)</f>
        <v>9.8324352255112046E-2</v>
      </c>
      <c r="G10" s="17">
        <f>IFERROR('Historical FS '!G33/'Historical FS '!F33-1,0)</f>
        <v>0.25323248564057566</v>
      </c>
      <c r="H10" s="17">
        <f>IFERROR('Historical FS '!H33/'Historical FS '!G33-1,0)</f>
        <v>0.1860533231026924</v>
      </c>
      <c r="I10" s="17">
        <f>IFERROR('Historical FS '!I33/'Historical FS '!H33-1,0)</f>
        <v>-2.9971131438908061E-2</v>
      </c>
      <c r="J10" s="17">
        <f>IFERROR('Historical FS '!J33/'Historical FS '!I33-1,0)</f>
        <v>0.34957492658474654</v>
      </c>
      <c r="K10" s="17">
        <f>IFERROR('Historical FS '!K33/'Historical FS '!J33-1,0)</f>
        <v>0.25847332665581102</v>
      </c>
      <c r="L10" s="17">
        <f>IFERROR('Historical FS '!L33/'Historical FS '!K33-1,0)</f>
        <v>-0.29075754792863395</v>
      </c>
      <c r="N10" s="40">
        <f t="shared" si="0"/>
        <v>0.10587688571723618</v>
      </c>
      <c r="O10" s="40">
        <f t="shared" si="1"/>
        <v>9.8324352255112046E-2</v>
      </c>
    </row>
    <row r="11" spans="2:15" x14ac:dyDescent="0.3">
      <c r="B11" s="37" t="s">
        <v>124</v>
      </c>
      <c r="C11" s="37"/>
      <c r="D11" s="38">
        <f>IFERROR('Historical FS '!D41/'Historical FS '!C41-1,)</f>
        <v>0.37333889352237981</v>
      </c>
      <c r="E11" s="38">
        <f>IFERROR('Historical FS '!E41/'Historical FS '!D41-1,)</f>
        <v>-0.15534727423632066</v>
      </c>
      <c r="F11" s="38">
        <f>IFERROR('Historical FS '!F41/'Historical FS '!E41-1,)</f>
        <v>0.20690233672858005</v>
      </c>
      <c r="G11" s="38">
        <f>IFERROR('Historical FS '!G41/'Historical FS '!F41-1,)</f>
        <v>0.14285714285714279</v>
      </c>
      <c r="H11" s="38">
        <f>IFERROR('Historical FS '!H41/'Historical FS '!G41-1,)</f>
        <v>0.48749826244092298</v>
      </c>
      <c r="I11" s="38">
        <f>IFERROR('Historical FS '!I41/'Historical FS '!H41-1,)</f>
        <v>7.2831552941588606E-2</v>
      </c>
      <c r="J11" s="38">
        <f>IFERROR('Historical FS '!J41/'Historical FS '!I41-1,)</f>
        <v>0.33942521789783719</v>
      </c>
      <c r="K11" s="38">
        <f>IFERROR('Historical FS '!K41/'Historical FS '!J41-1,)</f>
        <v>0.2982461844859472</v>
      </c>
      <c r="L11" s="38">
        <f>IFERROR('Historical FS '!L41/'Historical FS '!K41-1,)</f>
        <v>-0.25525493560081891</v>
      </c>
      <c r="M11" s="37"/>
      <c r="N11" s="41">
        <f t="shared" si="0"/>
        <v>0.16783304233747323</v>
      </c>
      <c r="O11" s="41">
        <f t="shared" si="1"/>
        <v>0.20690233672858005</v>
      </c>
    </row>
    <row r="13" spans="2:15" x14ac:dyDescent="0.3">
      <c r="B13" s="35" t="s">
        <v>62</v>
      </c>
      <c r="C13" s="39">
        <f>IFERROR('Historical FS '!C13,0)</f>
        <v>0.34037441080083447</v>
      </c>
      <c r="D13" s="39">
        <f>IFERROR('Historical FS '!D13,0)</f>
        <v>0.35382642001488518</v>
      </c>
      <c r="E13" s="39">
        <f>IFERROR('Historical FS '!E13,0)</f>
        <v>0.33465263558312119</v>
      </c>
      <c r="F13" s="39">
        <f>IFERROR('Historical FS '!F13,0)</f>
        <v>0.3292243867375117</v>
      </c>
      <c r="G13" s="39">
        <f>IFERROR('Historical FS '!G13,0)</f>
        <v>0.34812740429216393</v>
      </c>
      <c r="H13" s="39">
        <f>IFERROR('Historical FS '!H13,0)</f>
        <v>0.35360356729835285</v>
      </c>
      <c r="I13" s="39">
        <f>IFERROR('Historical FS '!I13,0)</f>
        <v>0.29245139732685294</v>
      </c>
      <c r="J13" s="39">
        <f>IFERROR('Historical FS '!J13,0)</f>
        <v>0.31088223670495074</v>
      </c>
      <c r="K13" s="39">
        <f>IFERROR('Historical FS '!K13,0)</f>
        <v>0.35173503221464147</v>
      </c>
      <c r="L13" s="39">
        <f>IFERROR('Historical FS '!L13,0)</f>
        <v>0.32927727025785108</v>
      </c>
      <c r="M13" s="35"/>
      <c r="N13" s="39">
        <f>IFERROR(AVERAGE(C13:L13),0)</f>
        <v>0.33441547612311651</v>
      </c>
      <c r="O13" s="39">
        <f>IFERROR(MEDIAN(C13:L13),0)</f>
        <v>0.3375135231919778</v>
      </c>
    </row>
    <row r="14" spans="2:15" x14ac:dyDescent="0.3">
      <c r="B14" t="s">
        <v>127</v>
      </c>
      <c r="C14" s="40">
        <f>IFERROR('Historical FS '!C19,0)</f>
        <v>0.19094292186730338</v>
      </c>
      <c r="D14" s="40">
        <f>IFERROR('Historical FS '!D19,0)</f>
        <v>0.19876258050895004</v>
      </c>
      <c r="E14" s="40">
        <f>IFERROR('Historical FS '!E19,0)</f>
        <v>0.19043659414367703</v>
      </c>
      <c r="F14" s="40">
        <f>IFERROR('Historical FS '!F19,0)</f>
        <v>0.19568163000977651</v>
      </c>
      <c r="G14" s="40">
        <f>IFERROR('Historical FS '!G19,0)</f>
        <v>0.20619160121219607</v>
      </c>
      <c r="H14" s="40">
        <f>IFERROR('Historical FS '!H19,0)</f>
        <v>0.22362856178317034</v>
      </c>
      <c r="I14" s="40">
        <f>IFERROR('Historical FS '!I19,0)</f>
        <v>0.16506524798909186</v>
      </c>
      <c r="J14" s="40">
        <f>IFERROR('Historical FS '!J19,0)</f>
        <v>0.1815046657459756</v>
      </c>
      <c r="K14" s="40">
        <f>IFERROR('Historical FS '!K19,0)</f>
        <v>0.21369313134654075</v>
      </c>
      <c r="L14" s="40">
        <f>IFERROR('Historical FS '!L19,0)</f>
        <v>0.17714496888716388</v>
      </c>
      <c r="N14" s="40">
        <f t="shared" ref="N14:N42" si="2">IFERROR(AVERAGE(C14:L14),0)</f>
        <v>0.19430519034938454</v>
      </c>
      <c r="O14" s="40">
        <f t="shared" ref="O14:O42" si="3">IFERROR(MEDIAN(C14:L14),0)</f>
        <v>0.19331227593853995</v>
      </c>
    </row>
    <row r="15" spans="2:15" x14ac:dyDescent="0.3">
      <c r="B15" t="s">
        <v>125</v>
      </c>
      <c r="C15" s="40">
        <f>IFERROR(('Historical FS '!C18-'Historical FS '!C24)/'Historical FS '!C6,0)</f>
        <v>0.17163309507276406</v>
      </c>
      <c r="D15" s="40">
        <f>IFERROR(('Historical FS '!D18-'Historical FS '!D24)/'Historical FS '!D6,0)</f>
        <v>0.17653510591893901</v>
      </c>
      <c r="E15" s="40">
        <f>IFERROR(('Historical FS '!E18-'Historical FS '!E24)/'Historical FS '!E6,0)</f>
        <v>0.16901135543001156</v>
      </c>
      <c r="F15" s="40">
        <f>IFERROR(('Historical FS '!F18-'Historical FS '!F24)/'Historical FS '!F6,0)</f>
        <v>0.16334608965739844</v>
      </c>
      <c r="G15" s="40">
        <f>IFERROR(('Historical FS '!G18-'Historical FS '!G24)/'Historical FS '!G6,0)</f>
        <v>0.16757449440286956</v>
      </c>
      <c r="H15" s="40">
        <f>IFERROR(('Historical FS '!H18-'Historical FS '!H24)/'Historical FS '!H6,0)</f>
        <v>0.18718598577152007</v>
      </c>
      <c r="I15" s="40">
        <f>IFERROR(('Historical FS '!I18-'Historical FS '!I24)/'Historical FS '!I6,0)</f>
        <v>0.13701287366053996</v>
      </c>
      <c r="J15" s="40">
        <f>IFERROR(('Historical FS '!J18-'Historical FS '!J24)/'Historical FS '!J6,0)</f>
        <v>0.15662629292760291</v>
      </c>
      <c r="K15" s="40">
        <f>IFERROR(('Historical FS '!K18-'Historical FS '!K24)/'Historical FS '!K6,0)</f>
        <v>0.18966139480424279</v>
      </c>
      <c r="L15" s="40">
        <f>IFERROR(('Historical FS '!L18-'Historical FS '!L24)/'Historical FS '!L6,0)</f>
        <v>0.14687447095791203</v>
      </c>
      <c r="N15" s="40">
        <f t="shared" si="2"/>
        <v>0.16654611586038004</v>
      </c>
      <c r="O15" s="40">
        <f t="shared" si="3"/>
        <v>0.16829292491644054</v>
      </c>
    </row>
    <row r="16" spans="2:15" x14ac:dyDescent="0.3">
      <c r="B16" t="s">
        <v>126</v>
      </c>
      <c r="C16" s="40">
        <f>IFERROR('Historical FS '!C28,0)</f>
        <v>0.16819967641780931</v>
      </c>
      <c r="D16" s="40">
        <f>IFERROR('Historical FS '!D28,0)</f>
        <v>0.17405668175320793</v>
      </c>
      <c r="E16" s="40">
        <f>IFERROR('Historical FS '!E28,0)</f>
        <v>0.16654650495852794</v>
      </c>
      <c r="F16" s="40">
        <f>IFERROR('Historical FS '!F28,0)</f>
        <v>0.15760444446061442</v>
      </c>
      <c r="G16" s="40">
        <f>IFERROR('Historical FS '!G28,0)</f>
        <v>0.16223340961098387</v>
      </c>
      <c r="H16" s="40">
        <f>IFERROR('Historical FS '!H28,0)</f>
        <v>0.18296589245325004</v>
      </c>
      <c r="I16" s="40">
        <f>IFERROR('Historical FS '!I28,0)</f>
        <v>0.13373432371359606</v>
      </c>
      <c r="J16" s="40">
        <f>IFERROR('Historical FS '!J28,0)</f>
        <v>0.15243795121806938</v>
      </c>
      <c r="K16" s="40">
        <f>IFERROR('Historical FS '!K28,0)</f>
        <v>0.18388110009570438</v>
      </c>
      <c r="L16" s="40">
        <f>IFERROR('Historical FS '!L28,0)</f>
        <v>0.14017882581117827</v>
      </c>
      <c r="N16" s="40">
        <f t="shared" si="2"/>
        <v>0.16218388104929415</v>
      </c>
      <c r="O16" s="40">
        <f t="shared" si="3"/>
        <v>0.16438995728475592</v>
      </c>
    </row>
    <row r="17" spans="2:15" x14ac:dyDescent="0.3">
      <c r="B17" s="37" t="s">
        <v>72</v>
      </c>
      <c r="C17" s="41">
        <f>IFERROR('Historical FS '!C34,0)</f>
        <v>0.10902645764387611</v>
      </c>
      <c r="D17" s="41">
        <f>IFERROR('Historical FS '!D34,0)</f>
        <v>0.1114294990237014</v>
      </c>
      <c r="E17" s="41">
        <f>IFERROR('Historical FS '!E34,0)</f>
        <v>0.10467501359620324</v>
      </c>
      <c r="F17" s="41">
        <f>IFERROR('Historical FS '!F34,0)</f>
        <v>0.1005331045060507</v>
      </c>
      <c r="G17" s="41">
        <f>IFERROR('Historical FS '!G34,0)</f>
        <v>0.1199376584822808</v>
      </c>
      <c r="H17" s="41">
        <f>IFERROR('Historical FS '!H34,0)</f>
        <v>0.13241504200980173</v>
      </c>
      <c r="I17" s="41">
        <f>IFERROR('Historical FS '!I34,0)</f>
        <v>9.5835303464314917E-2</v>
      </c>
      <c r="J17" s="41">
        <f>IFERROR('Historical FS '!J34,0)</f>
        <v>0.10913377438741322</v>
      </c>
      <c r="K17" s="41">
        <f>IFERROR('Historical FS '!K34,0)</f>
        <v>0.13344882465650537</v>
      </c>
      <c r="L17" s="41">
        <f>IFERROR('Historical FS '!L34,0)</f>
        <v>9.9083573755619339E-2</v>
      </c>
      <c r="M17" s="37"/>
      <c r="N17" s="41">
        <f t="shared" si="2"/>
        <v>0.11155182515257667</v>
      </c>
      <c r="O17" s="41">
        <f t="shared" si="3"/>
        <v>0.10908011601564466</v>
      </c>
    </row>
    <row r="19" spans="2:15" x14ac:dyDescent="0.3">
      <c r="B19" s="35" t="s">
        <v>128</v>
      </c>
      <c r="C19" s="39">
        <f>IFERROR('Historical FS '!C16,0)</f>
        <v>0.14943148893353111</v>
      </c>
      <c r="D19" s="39">
        <f>IFERROR('Historical FS '!D16,0)</f>
        <v>0.15506383950593511</v>
      </c>
      <c r="E19" s="39">
        <f>IFERROR('Historical FS '!E16,0)</f>
        <v>0.14421604143944414</v>
      </c>
      <c r="F19" s="39">
        <f>IFERROR('Historical FS '!F16,0)</f>
        <v>0.13354275672773522</v>
      </c>
      <c r="G19" s="39">
        <f>IFERROR('Historical FS '!G16,0)</f>
        <v>0.14193580307996786</v>
      </c>
      <c r="H19" s="39">
        <f>IFERROR('Historical FS '!H16,0)</f>
        <v>0.12997500551518251</v>
      </c>
      <c r="I19" s="39">
        <f>IFERROR('Historical FS '!I16,0)</f>
        <v>0.1273861493377611</v>
      </c>
      <c r="J19" s="39">
        <f>IFERROR('Historical FS '!J16,0)</f>
        <v>0.12937757095897515</v>
      </c>
      <c r="K19" s="39">
        <f>IFERROR('Historical FS '!K16,0)</f>
        <v>0.1380419008681007</v>
      </c>
      <c r="L19" s="39">
        <f>IFERROR('Historical FS '!L16,0)</f>
        <v>0.15213230137068723</v>
      </c>
      <c r="M19" s="35"/>
      <c r="N19" s="39">
        <f t="shared" si="2"/>
        <v>0.140110285773732</v>
      </c>
      <c r="O19" s="39">
        <f t="shared" si="3"/>
        <v>0.13998885197403427</v>
      </c>
    </row>
    <row r="20" spans="2:15" x14ac:dyDescent="0.3">
      <c r="B20" t="s">
        <v>68</v>
      </c>
      <c r="C20" s="40">
        <f>IFERROR('Historical FS '!C25,0)</f>
        <v>1.9309826794539322E-2</v>
      </c>
      <c r="D20" s="40">
        <f>IFERROR('Historical FS '!D25,0)</f>
        <v>2.2227474590011016E-2</v>
      </c>
      <c r="E20" s="40">
        <f>IFERROR('Historical FS '!E25,0)</f>
        <v>2.1425238713665449E-2</v>
      </c>
      <c r="F20" s="40">
        <f>IFERROR('Historical FS '!F25,0)</f>
        <v>3.2335540352378074E-2</v>
      </c>
      <c r="G20" s="40">
        <f>IFERROR('Historical FS '!G25,0)</f>
        <v>3.8617106809326486E-2</v>
      </c>
      <c r="H20" s="40">
        <f>IFERROR('Historical FS '!H25,0)</f>
        <v>3.6442576011650275E-2</v>
      </c>
      <c r="I20" s="40">
        <f>IFERROR('Historical FS '!I25,0)</f>
        <v>2.8052374328551871E-2</v>
      </c>
      <c r="J20" s="40">
        <f>IFERROR('Historical FS '!J25,0)</f>
        <v>2.4878372818372688E-2</v>
      </c>
      <c r="K20" s="40">
        <f>IFERROR('Historical FS '!K25,0)</f>
        <v>2.4031736542297968E-2</v>
      </c>
      <c r="L20" s="40">
        <f>IFERROR('Historical FS '!L25,0)</f>
        <v>3.0270497929251843E-2</v>
      </c>
      <c r="N20" s="40">
        <f t="shared" si="2"/>
        <v>2.7759074489004498E-2</v>
      </c>
      <c r="O20" s="40">
        <f t="shared" si="3"/>
        <v>2.6465373573462278E-2</v>
      </c>
    </row>
    <row r="21" spans="2:15" x14ac:dyDescent="0.3">
      <c r="B21" s="37" t="s">
        <v>129</v>
      </c>
      <c r="C21" s="38">
        <f>C15</f>
        <v>0.17163309507276406</v>
      </c>
      <c r="D21" s="38">
        <f t="shared" ref="D21:L21" si="4">D15</f>
        <v>0.17653510591893901</v>
      </c>
      <c r="E21" s="38">
        <f t="shared" si="4"/>
        <v>0.16901135543001156</v>
      </c>
      <c r="F21" s="38">
        <f t="shared" si="4"/>
        <v>0.16334608965739844</v>
      </c>
      <c r="G21" s="38">
        <f t="shared" si="4"/>
        <v>0.16757449440286956</v>
      </c>
      <c r="H21" s="38">
        <f t="shared" si="4"/>
        <v>0.18718598577152007</v>
      </c>
      <c r="I21" s="38">
        <f t="shared" si="4"/>
        <v>0.13701287366053996</v>
      </c>
      <c r="J21" s="38">
        <f t="shared" si="4"/>
        <v>0.15662629292760291</v>
      </c>
      <c r="K21" s="38">
        <f t="shared" si="4"/>
        <v>0.18966139480424279</v>
      </c>
      <c r="L21" s="38">
        <f t="shared" si="4"/>
        <v>0.14687447095791203</v>
      </c>
      <c r="M21" s="37"/>
      <c r="N21" s="41">
        <f t="shared" si="2"/>
        <v>0.16654611586038004</v>
      </c>
      <c r="O21" s="41">
        <f t="shared" si="3"/>
        <v>0.16829292491644054</v>
      </c>
    </row>
    <row r="23" spans="2:15" x14ac:dyDescent="0.3">
      <c r="B23" s="35" t="s">
        <v>130</v>
      </c>
      <c r="C23" s="36">
        <f>IFERROR(('Historical FS '!C18-'Historical FS '!C24)/SUM('Historical FS '!C48:C50),0)</f>
        <v>0.35768409093896003</v>
      </c>
      <c r="D23" s="36">
        <f>IFERROR(('Historical FS '!D18-'Historical FS '!D24)/SUM('Historical FS '!D48:D50),0)</f>
        <v>0.32568533713528403</v>
      </c>
      <c r="E23" s="36">
        <f>IFERROR(('Historical FS '!E18-'Historical FS '!E24)/SUM('Historical FS '!E48:E50),0)</f>
        <v>0.31793918820706524</v>
      </c>
      <c r="F23" s="36">
        <f>IFERROR(('Historical FS '!F18-'Historical FS '!F24)/SUM('Historical FS '!F48:F50),0)</f>
        <v>0.29126564505590763</v>
      </c>
      <c r="G23" s="36">
        <f>IFERROR(('Historical FS '!G18-'Historical FS '!G24)/SUM('Historical FS '!G48:G50),0)</f>
        <v>0.30109275238117228</v>
      </c>
      <c r="H23" s="36">
        <f>IFERROR(('Historical FS '!H18-'Historical FS '!H24)/SUM('Historical FS '!H48:H50),0)</f>
        <v>0.29241025338485616</v>
      </c>
      <c r="I23" s="36">
        <f>IFERROR(('Historical FS '!I18-'Historical FS '!I24)/SUM('Historical FS '!I48:I50),0)</f>
        <v>0.2589385678029722</v>
      </c>
      <c r="J23" s="36">
        <f>IFERROR(('Historical FS '!J18-'Historical FS '!J24)/SUM('Historical FS '!J48:J50),0)</f>
        <v>0.30135928613070662</v>
      </c>
      <c r="K23" s="36">
        <f>IFERROR(('Historical FS '!K18-'Historical FS '!K24)/SUM('Historical FS '!K48:K50),0)</f>
        <v>0.31750608885291864</v>
      </c>
      <c r="L23" s="36">
        <f>IFERROR(('Historical FS '!L18-'Historical FS '!L24)/SUM('Historical FS '!L48:L50),0)</f>
        <v>0.22959184143918202</v>
      </c>
      <c r="M23" s="35"/>
      <c r="N23" s="39">
        <f t="shared" si="2"/>
        <v>0.29934730513290247</v>
      </c>
      <c r="O23" s="39">
        <f t="shared" si="3"/>
        <v>0.30122601925593945</v>
      </c>
    </row>
    <row r="24" spans="2:15" x14ac:dyDescent="0.3">
      <c r="B24" t="s">
        <v>131</v>
      </c>
      <c r="C24" s="17">
        <f>IFERROR('Historical FS '!C44,0)</f>
        <v>0.53765175421119982</v>
      </c>
      <c r="D24" s="17">
        <f>IFERROR('Historical FS '!D44,0)</f>
        <v>0.4113385169958591</v>
      </c>
      <c r="E24" s="17">
        <f>IFERROR('Historical FS '!E44,0)</f>
        <v>0.52615112060007641</v>
      </c>
      <c r="F24" s="17">
        <f>IFERROR('Historical FS '!F44,0)</f>
        <v>0.47930743898214867</v>
      </c>
      <c r="G24" s="17">
        <f>IFERROR('Historical FS '!G44,0)</f>
        <v>0.52516614482135515</v>
      </c>
      <c r="H24" s="17">
        <f>IFERROR('Historical FS '!H44,0)</f>
        <v>0.40448332231922424</v>
      </c>
      <c r="I24" s="17">
        <f>IFERROR('Historical FS '!I44,0)</f>
        <v>0.34137106345444268</v>
      </c>
      <c r="J24" s="17">
        <f>IFERROR('Historical FS '!J44,0)</f>
        <v>0.34632439483829069</v>
      </c>
      <c r="K24" s="17">
        <f>IFERROR('Historical FS '!K44,0)</f>
        <v>0.32566559630800174</v>
      </c>
      <c r="L24" s="17">
        <f>IFERROR('Historical FS '!L44,0)</f>
        <v>0.29191037925399443</v>
      </c>
      <c r="N24" s="40">
        <f t="shared" si="2"/>
        <v>0.41893697317845924</v>
      </c>
      <c r="O24" s="40">
        <f t="shared" si="3"/>
        <v>0.40791091965754167</v>
      </c>
    </row>
    <row r="25" spans="2:15" x14ac:dyDescent="0.3">
      <c r="B25" t="s">
        <v>132</v>
      </c>
      <c r="C25" s="17">
        <f>IFERROR('Historical FS '!C33/SUM('Historical FS '!C48:C49),0)</f>
        <v>0.23846941371562763</v>
      </c>
      <c r="D25" s="17">
        <f>IFERROR('Historical FS '!D33/SUM('Historical FS '!D48:D49),0)</f>
        <v>0.22072255122049375</v>
      </c>
      <c r="E25" s="17">
        <f>IFERROR('Historical FS '!E33/SUM('Historical FS '!E48:E49),0)</f>
        <v>0.20940093196024379</v>
      </c>
      <c r="F25" s="17">
        <f>IFERROR('Historical FS '!F33/SUM('Historical FS '!F48:F49),0)</f>
        <v>0.20424051401449772</v>
      </c>
      <c r="G25" s="17">
        <f>IFERROR('Historical FS '!G33/SUM('Historical FS '!G48:G49),0)</f>
        <v>0.23929434480797915</v>
      </c>
      <c r="H25" s="17">
        <f>IFERROR('Historical FS '!H33/SUM('Historical FS '!H48:H49),0)</f>
        <v>0.22450686342414569</v>
      </c>
      <c r="I25" s="17">
        <f>IFERROR('Historical FS '!I33/SUM('Historical FS '!I48:I49),0)</f>
        <v>0.20192722617865025</v>
      </c>
      <c r="J25" s="17">
        <f>IFERROR('Historical FS '!J33/SUM('Historical FS '!J48:J49),0)</f>
        <v>0.23535616983997826</v>
      </c>
      <c r="K25" s="17">
        <f>IFERROR('Historical FS '!K33/SUM('Historical FS '!K48:K49),0)</f>
        <v>0.25291831079168969</v>
      </c>
      <c r="L25" s="17">
        <f>IFERROR('Historical FS '!L33/SUM('Historical FS '!L48:L49),0)</f>
        <v>0.17317128363628317</v>
      </c>
      <c r="N25" s="40">
        <f t="shared" si="2"/>
        <v>0.22000076095895887</v>
      </c>
      <c r="O25" s="40">
        <f t="shared" si="3"/>
        <v>0.22261470732231972</v>
      </c>
    </row>
    <row r="26" spans="2:15" x14ac:dyDescent="0.3">
      <c r="B26" t="s">
        <v>133</v>
      </c>
      <c r="C26" s="17">
        <f>C24*C25</f>
        <v>0.12821349860992354</v>
      </c>
      <c r="D26" s="17">
        <f t="shared" ref="D26:L26" si="5">D24*D25</f>
        <v>9.0791686886580444E-2</v>
      </c>
      <c r="E26" s="17">
        <f t="shared" si="5"/>
        <v>0.11017653500558262</v>
      </c>
      <c r="F26" s="17">
        <f t="shared" si="5"/>
        <v>9.789399770868655E-2</v>
      </c>
      <c r="G26" s="17">
        <f t="shared" si="5"/>
        <v>0.12566928854035847</v>
      </c>
      <c r="H26" s="17">
        <f t="shared" si="5"/>
        <v>9.0809282001266783E-2</v>
      </c>
      <c r="I26" s="17">
        <f t="shared" si="5"/>
        <v>6.893211194101162E-2</v>
      </c>
      <c r="J26" s="17">
        <f t="shared" si="5"/>
        <v>8.1509583091288432E-2</v>
      </c>
      <c r="K26" s="17">
        <f t="shared" si="5"/>
        <v>8.2366792501188141E-2</v>
      </c>
      <c r="L26" s="17">
        <f t="shared" si="5"/>
        <v>5.055049508216846E-2</v>
      </c>
      <c r="N26" s="40">
        <f t="shared" si="2"/>
        <v>9.2691327136805529E-2</v>
      </c>
      <c r="O26" s="40">
        <f t="shared" si="3"/>
        <v>9.0800484443923607E-2</v>
      </c>
    </row>
    <row r="27" spans="2:15" x14ac:dyDescent="0.3">
      <c r="B27" s="37" t="s">
        <v>134</v>
      </c>
      <c r="C27" s="42">
        <f>('Historical FS '!C18-'Historical FS '!C24)/'Historical FS '!C21</f>
        <v>49.988979591836767</v>
      </c>
      <c r="D27" s="42">
        <f>('Historical FS '!D18-'Historical FS '!D24)/'Historical FS '!D21</f>
        <v>71.228770425930904</v>
      </c>
      <c r="E27" s="42">
        <f>('Historical FS '!E18-'Historical FS '!E24)/'Historical FS '!E21</f>
        <v>68.568603809983145</v>
      </c>
      <c r="F27" s="42">
        <f>('Historical FS '!F18-'Historical FS '!F24)/'Historical FS '!F21</f>
        <v>28.449352765456698</v>
      </c>
      <c r="G27" s="42">
        <f>('Historical FS '!G18-'Historical FS '!G24)/'Historical FS '!G21</f>
        <v>31.374617878647499</v>
      </c>
      <c r="H27" s="42">
        <f>('Historical FS '!H18-'Historical FS '!H24)/'Historical FS '!H21</f>
        <v>44.355887809669362</v>
      </c>
      <c r="I27" s="42">
        <f>('Historical FS '!I18-'Historical FS '!I24)/'Historical FS '!I21</f>
        <v>41.790692799496895</v>
      </c>
      <c r="J27" s="42">
        <f>('Historical FS '!J18-'Historical FS '!J24)/'Historical FS '!J21</f>
        <v>37.39577708549669</v>
      </c>
      <c r="K27" s="42">
        <f>('Historical FS '!K18-'Historical FS '!K24)/'Historical FS '!K21</f>
        <v>32.811717112638306</v>
      </c>
      <c r="L27" s="42">
        <f>('Historical FS '!L18-'Historical FS '!L24)/'Historical FS '!L21</f>
        <v>21.935820632543393</v>
      </c>
      <c r="M27" s="37"/>
      <c r="N27" s="42">
        <f t="shared" si="2"/>
        <v>42.790021991169958</v>
      </c>
      <c r="O27" s="42">
        <f t="shared" si="3"/>
        <v>39.593234942496792</v>
      </c>
    </row>
    <row r="29" spans="2:15" x14ac:dyDescent="0.3">
      <c r="B29" s="35" t="s">
        <v>135</v>
      </c>
      <c r="C29" s="43">
        <f>IFERROR('Historical FS '!C6/'Historical FS '!C60,0)</f>
        <v>12.024780088301709</v>
      </c>
      <c r="D29" s="43">
        <f>IFERROR('Historical FS '!D6/'Historical FS '!D60,0)</f>
        <v>10.41199364025992</v>
      </c>
      <c r="E29" s="43">
        <f>IFERROR('Historical FS '!E6/'Historical FS '!E60,0)</f>
        <v>9.7216331624899599</v>
      </c>
      <c r="F29" s="43">
        <f>IFERROR('Historical FS '!F6/'Historical FS '!F60,0)</f>
        <v>10.08746782150965</v>
      </c>
      <c r="G29" s="43">
        <f>IFERROR('Historical FS '!G6/'Historical FS '!G60,0)</f>
        <v>11.258369447755706</v>
      </c>
      <c r="H29" s="43">
        <f>IFERROR('Historical FS '!H6/'Historical FS '!H60,0)</f>
        <v>8.3441089552181449</v>
      </c>
      <c r="I29" s="43">
        <f>IFERROR('Historical FS '!I6/'Historical FS '!I60,0)</f>
        <v>7.5169136032070751</v>
      </c>
      <c r="J29" s="43">
        <f>IFERROR('Historical FS '!J6/'Historical FS '!J60,0)</f>
        <v>7.4377908707035241</v>
      </c>
      <c r="K29" s="43">
        <f>IFERROR('Historical FS '!K6/'Historical FS '!K60,0)</f>
        <v>7.2600464302880932</v>
      </c>
      <c r="L29" s="43">
        <f>IFERROR('Historical FS '!L6/'Historical FS '!L60,0)</f>
        <v>7.8600767331610131</v>
      </c>
      <c r="M29" s="35"/>
      <c r="N29" s="43">
        <f t="shared" si="2"/>
        <v>9.1923180752894798</v>
      </c>
      <c r="O29" s="43">
        <f t="shared" si="3"/>
        <v>9.0328710588540524</v>
      </c>
    </row>
    <row r="30" spans="2:15" x14ac:dyDescent="0.3">
      <c r="B30" t="s">
        <v>136</v>
      </c>
      <c r="C30" s="34">
        <f>IFERROR('Historical FS '!C6/'Historical FS '!C51,0)</f>
        <v>3.8458091254998759</v>
      </c>
      <c r="D30" s="34">
        <f>IFERROR('Historical FS '!D6/'Historical FS '!D51,0)</f>
        <v>3.5515520070927336</v>
      </c>
      <c r="E30" s="34">
        <f>IFERROR('Historical FS '!E6/'Historical FS '!E51,0)</f>
        <v>3.4907008975438916</v>
      </c>
      <c r="F30" s="34">
        <f>IFERROR('Historical FS '!F6/'Historical FS '!F51,0)</f>
        <v>3.5246789980746303</v>
      </c>
      <c r="G30" s="34">
        <f>IFERROR('Historical FS '!G6/'Historical FS '!G51,0)</f>
        <v>4.1337632508472559</v>
      </c>
      <c r="H30" s="34">
        <f>IFERROR('Historical FS '!H6/'Historical FS '!H51,0)</f>
        <v>3.3632319433451108</v>
      </c>
      <c r="I30" s="34">
        <f>IFERROR('Historical FS '!I6/'Historical FS '!I51,0)</f>
        <v>3.8493807531491444</v>
      </c>
      <c r="J30" s="34">
        <f>IFERROR('Historical FS '!J6/'Historical FS '!J51,0)</f>
        <v>4.3909450402827428</v>
      </c>
      <c r="K30" s="34">
        <f>IFERROR('Historical FS '!K6/'Historical FS '!K51,0)</f>
        <v>4.0807499117622381</v>
      </c>
      <c r="L30" s="34">
        <f>IFERROR('Historical FS '!L6/'Historical FS '!L51,0)</f>
        <v>3.9128716756201571</v>
      </c>
      <c r="N30" s="34">
        <f t="shared" si="2"/>
        <v>3.8143683603217786</v>
      </c>
      <c r="O30" s="34">
        <f t="shared" si="3"/>
        <v>3.8475949393245101</v>
      </c>
    </row>
    <row r="31" spans="2:15" x14ac:dyDescent="0.3">
      <c r="B31" t="s">
        <v>137</v>
      </c>
      <c r="C31" s="34">
        <f>IFERROR('Historical FS '!C6/'Historical FS '!C61,0)</f>
        <v>7.142029986388021</v>
      </c>
      <c r="D31" s="34">
        <f>IFERROR('Historical FS '!D6/'Historical FS '!D61,0)</f>
        <v>5.7336635020213631</v>
      </c>
      <c r="E31" s="34">
        <f>IFERROR('Historical FS '!E6/'Historical FS '!E61,0)</f>
        <v>6.3290398787199385</v>
      </c>
      <c r="F31" s="34">
        <f>IFERROR('Historical FS '!F6/'Historical FS '!F61,0)</f>
        <v>6.1082492555224679</v>
      </c>
      <c r="G31" s="34">
        <f>IFERROR('Historical FS '!G6/'Historical FS '!G61,0)</f>
        <v>5.9623548222466747</v>
      </c>
      <c r="H31" s="34">
        <f>IFERROR('Historical FS '!H6/'Historical FS '!H61,0)</f>
        <v>5.7159979992628864</v>
      </c>
      <c r="I31" s="34">
        <f>IFERROR('Historical FS '!I6/'Historical FS '!I61,0)</f>
        <v>4.7296236945350056</v>
      </c>
      <c r="J31" s="34">
        <f>IFERROR('Historical FS '!J6/'Historical FS '!J61,0)</f>
        <v>5.5531458915667296</v>
      </c>
      <c r="K31" s="34">
        <f>IFERROR('Historical FS '!K6/'Historical FS '!K61,0)</f>
        <v>5.9922797847861293</v>
      </c>
      <c r="L31" s="34">
        <f>IFERROR('Historical FS '!L6/'Historical FS '!L61,0)</f>
        <v>5.0460273214203326</v>
      </c>
      <c r="N31" s="34">
        <f t="shared" si="2"/>
        <v>5.8312412136469547</v>
      </c>
      <c r="O31" s="34">
        <f t="shared" si="3"/>
        <v>5.8480091621340193</v>
      </c>
    </row>
    <row r="32" spans="2:15" x14ac:dyDescent="0.3">
      <c r="B32" t="s">
        <v>138</v>
      </c>
      <c r="C32" s="34">
        <f>IFERROR('Historical FS '!C6/'Historical FS '!C54,0)</f>
        <v>4.1774086378737545</v>
      </c>
      <c r="D32" s="34">
        <f>IFERROR('Historical FS '!D6/'Historical FS '!D54,0)</f>
        <v>4.5590724451682032</v>
      </c>
      <c r="E32" s="34">
        <f>IFERROR('Historical FS '!E6/'Historical FS '!E54,0)</f>
        <v>4.50789606241828</v>
      </c>
      <c r="F32" s="34">
        <f>IFERROR('Historical FS '!F6/'Historical FS '!F54,0)</f>
        <v>2.9615873631583485</v>
      </c>
      <c r="G32" s="34">
        <f>IFERROR('Historical FS '!G6/'Historical FS '!G54,0)</f>
        <v>3.2222976861794139</v>
      </c>
      <c r="H32" s="34">
        <f>IFERROR('Historical FS '!H6/'Historical FS '!H54,0)</f>
        <v>3.7061903006220001</v>
      </c>
      <c r="I32" s="34">
        <f>IFERROR('Historical FS '!I6/'Historical FS '!I54,0)</f>
        <v>5.2728689305787571</v>
      </c>
      <c r="J32" s="34">
        <f>IFERROR('Historical FS '!J6/'Historical FS '!J54,0)</f>
        <v>5.9767488207179316</v>
      </c>
      <c r="K32" s="34">
        <f>IFERROR('Historical FS '!K6/'Historical FS '!K54,0)</f>
        <v>4.9666457710078333</v>
      </c>
      <c r="L32" s="34">
        <f>IFERROR('Historical FS '!L6/'Historical FS '!L54,0)</f>
        <v>3.6773592477305019</v>
      </c>
      <c r="N32" s="34">
        <f t="shared" si="2"/>
        <v>4.3028075265455019</v>
      </c>
      <c r="O32" s="34">
        <f t="shared" si="3"/>
        <v>4.3426523501460172</v>
      </c>
    </row>
    <row r="33" spans="2:15" x14ac:dyDescent="0.3">
      <c r="B33" s="37" t="s">
        <v>139</v>
      </c>
      <c r="C33" s="42">
        <f>IFERROR('Historical FS '!C6/SUM('Historical FS '!C48:C49),0)</f>
        <v>2.1872618708255556</v>
      </c>
      <c r="D33" s="42">
        <f>IFERROR('Historical FS '!D6/SUM('Historical FS '!D48:D49),0)</f>
        <v>1.9808269188533763</v>
      </c>
      <c r="E33" s="42">
        <f>IFERROR('Historical FS '!E6/SUM('Historical FS '!E48:E49),0)</f>
        <v>2.0004863125027494</v>
      </c>
      <c r="F33" s="42">
        <f>IFERROR('Historical FS '!F6/SUM('Historical FS '!F48:F49),0)</f>
        <v>2.0315747237488848</v>
      </c>
      <c r="G33" s="42">
        <f>IFERROR('Historical FS '!G6/SUM('Historical FS '!G48:G49),0)</f>
        <v>1.995156048867935</v>
      </c>
      <c r="H33" s="42">
        <f>IFERROR('Historical FS '!H6/SUM('Historical FS '!H48:H49),0)</f>
        <v>1.6954785499937921</v>
      </c>
      <c r="I33" s="42">
        <f>IFERROR('Historical FS '!I6/SUM('Historical FS '!I48:I49),0)</f>
        <v>2.1070233919991659</v>
      </c>
      <c r="J33" s="42">
        <f>IFERROR('Historical FS '!J6/SUM('Historical FS '!J48:J49),0)</f>
        <v>2.1565841661857039</v>
      </c>
      <c r="K33" s="42">
        <f>IFERROR('Historical FS '!K6/SUM('Historical FS '!K48:K49),0)</f>
        <v>1.8952456976874572</v>
      </c>
      <c r="L33" s="42">
        <f>IFERROR('Historical FS '!L6/SUM('Historical FS '!L48:L49),0)</f>
        <v>1.7477294880723062</v>
      </c>
      <c r="M33" s="37"/>
      <c r="N33" s="42">
        <f t="shared" si="2"/>
        <v>1.9797367168736926</v>
      </c>
      <c r="O33" s="42">
        <f t="shared" si="3"/>
        <v>1.9978211806853423</v>
      </c>
    </row>
    <row r="34" spans="2:15" x14ac:dyDescent="0.3">
      <c r="C34" s="34"/>
      <c r="D34" s="34"/>
      <c r="E34" s="34"/>
      <c r="F34" s="34"/>
      <c r="G34" s="34"/>
      <c r="H34" s="34"/>
      <c r="I34" s="34"/>
      <c r="J34" s="34"/>
      <c r="K34" s="34"/>
      <c r="L34" s="34"/>
    </row>
    <row r="35" spans="2:15" x14ac:dyDescent="0.3">
      <c r="B35" s="35" t="s">
        <v>140</v>
      </c>
      <c r="C35" s="44">
        <f>IFERROR(365/C29,0)</f>
        <v>30.353985463325834</v>
      </c>
      <c r="D35" s="44">
        <f t="shared" ref="D35:L35" si="6">IFERROR(365/D29,0)</f>
        <v>35.055726368162503</v>
      </c>
      <c r="E35" s="44">
        <f t="shared" si="6"/>
        <v>37.545131964896534</v>
      </c>
      <c r="F35" s="44">
        <f t="shared" si="6"/>
        <v>36.183510714324697</v>
      </c>
      <c r="G35" s="44">
        <f t="shared" si="6"/>
        <v>32.420325313872226</v>
      </c>
      <c r="H35" s="44">
        <f t="shared" si="6"/>
        <v>43.743436472235949</v>
      </c>
      <c r="I35" s="44">
        <f t="shared" si="6"/>
        <v>48.557163121347244</v>
      </c>
      <c r="J35" s="44">
        <f t="shared" si="6"/>
        <v>49.073711044725229</v>
      </c>
      <c r="K35" s="44">
        <f t="shared" si="6"/>
        <v>50.275160566089667</v>
      </c>
      <c r="L35" s="44">
        <f t="shared" si="6"/>
        <v>46.437205690384069</v>
      </c>
      <c r="M35" s="35"/>
      <c r="N35" s="44">
        <f t="shared" si="2"/>
        <v>40.964535671936389</v>
      </c>
      <c r="O35" s="44">
        <f>IFERROR(MEDIAN(C35:L35),0)</f>
        <v>40.644284218566241</v>
      </c>
    </row>
    <row r="36" spans="2:15" x14ac:dyDescent="0.3">
      <c r="B36" t="s">
        <v>141</v>
      </c>
      <c r="C36" s="45">
        <f>IFERROR(365/C30,0)</f>
        <v>94.908506399822301</v>
      </c>
      <c r="D36" s="45">
        <f t="shared" ref="D36:L36" si="7">IFERROR(365/D30,0)</f>
        <v>102.77197103437196</v>
      </c>
      <c r="E36" s="45">
        <f t="shared" si="7"/>
        <v>104.56352770207822</v>
      </c>
      <c r="F36" s="45">
        <f t="shared" si="7"/>
        <v>103.55552951045547</v>
      </c>
      <c r="G36" s="45">
        <f t="shared" si="7"/>
        <v>88.297267610860303</v>
      </c>
      <c r="H36" s="45">
        <f t="shared" si="7"/>
        <v>108.52656199410578</v>
      </c>
      <c r="I36" s="45">
        <f t="shared" si="7"/>
        <v>94.820446042235943</v>
      </c>
      <c r="J36" s="45">
        <f t="shared" si="7"/>
        <v>83.125613427513272</v>
      </c>
      <c r="K36" s="45">
        <f t="shared" si="7"/>
        <v>89.444344273079395</v>
      </c>
      <c r="L36" s="45">
        <f t="shared" si="7"/>
        <v>93.281873329554202</v>
      </c>
      <c r="N36" s="45">
        <f t="shared" si="2"/>
        <v>96.329564132407683</v>
      </c>
      <c r="O36" s="45">
        <f t="shared" si="3"/>
        <v>94.864476221029122</v>
      </c>
    </row>
    <row r="37" spans="2:15" x14ac:dyDescent="0.3">
      <c r="B37" t="s">
        <v>142</v>
      </c>
      <c r="C37" s="45">
        <f>IFERROR(365/C31,0)</f>
        <v>51.105918162714616</v>
      </c>
      <c r="D37" s="45">
        <f t="shared" ref="D37:L37" si="8">IFERROR(365/D31,0)</f>
        <v>63.659124723891068</v>
      </c>
      <c r="E37" s="45">
        <f t="shared" si="8"/>
        <v>57.670674698580349</v>
      </c>
      <c r="F37" s="45">
        <f t="shared" si="8"/>
        <v>59.755256331428114</v>
      </c>
      <c r="G37" s="45">
        <f t="shared" si="8"/>
        <v>61.217423464654587</v>
      </c>
      <c r="H37" s="45">
        <f t="shared" si="8"/>
        <v>63.855865598110604</v>
      </c>
      <c r="I37" s="45">
        <f t="shared" si="8"/>
        <v>77.173158706421162</v>
      </c>
      <c r="J37" s="45">
        <f t="shared" si="8"/>
        <v>65.728509051834251</v>
      </c>
      <c r="K37" s="45">
        <f t="shared" si="8"/>
        <v>60.911708583217838</v>
      </c>
      <c r="L37" s="45">
        <f t="shared" si="8"/>
        <v>72.334130742926988</v>
      </c>
      <c r="N37" s="45">
        <f t="shared" si="2"/>
        <v>63.341177006377947</v>
      </c>
      <c r="O37" s="45">
        <f t="shared" si="3"/>
        <v>62.438274094272828</v>
      </c>
    </row>
    <row r="38" spans="2:15" x14ac:dyDescent="0.3">
      <c r="B38" s="37" t="s">
        <v>146</v>
      </c>
      <c r="C38" s="46">
        <f>SUM(C35,C37)-C36</f>
        <v>-13.448602773781857</v>
      </c>
      <c r="D38" s="46">
        <f t="shared" ref="D38:L38" si="9">SUM(D35,D37)-D36</f>
        <v>-4.0571199423183799</v>
      </c>
      <c r="E38" s="46">
        <f t="shared" si="9"/>
        <v>-9.3477210386013354</v>
      </c>
      <c r="F38" s="46">
        <f t="shared" si="9"/>
        <v>-7.6167624647026599</v>
      </c>
      <c r="G38" s="46">
        <f t="shared" si="9"/>
        <v>5.3404811676665105</v>
      </c>
      <c r="H38" s="46">
        <f t="shared" si="9"/>
        <v>-0.92725992375922317</v>
      </c>
      <c r="I38" s="46">
        <f t="shared" si="9"/>
        <v>30.909875785532464</v>
      </c>
      <c r="J38" s="46">
        <f t="shared" si="9"/>
        <v>31.676606669046208</v>
      </c>
      <c r="K38" s="46">
        <f t="shared" si="9"/>
        <v>21.742524876228117</v>
      </c>
      <c r="L38" s="46">
        <f t="shared" si="9"/>
        <v>25.489463103756862</v>
      </c>
      <c r="M38" s="37"/>
      <c r="N38" s="46">
        <f t="shared" si="2"/>
        <v>7.9761485459066703</v>
      </c>
      <c r="O38" s="46">
        <f t="shared" si="3"/>
        <v>2.2066106219536437</v>
      </c>
    </row>
    <row r="40" spans="2:15" x14ac:dyDescent="0.3">
      <c r="B40" s="35" t="s">
        <v>143</v>
      </c>
      <c r="C40" s="39">
        <f>IFERROR('Historical FS '!C107/'Historical FS '!C6,0)</f>
        <v>0.17111037459998921</v>
      </c>
      <c r="D40" s="39">
        <f>IFERROR('Historical FS '!D107/'Historical FS '!D6,0)</f>
        <v>6.1412867755190385E-2</v>
      </c>
      <c r="E40" s="39">
        <f>IFERROR('Historical FS '!E107/'Historical FS '!E6,0)</f>
        <v>0.12083532694782327</v>
      </c>
      <c r="F40" s="39">
        <f>IFERROR('Historical FS '!F107/'Historical FS '!F6,0)</f>
        <v>0.10701590893616622</v>
      </c>
      <c r="G40" s="39">
        <f>IFERROR('Historical FS '!G107/'Historical FS '!G6,0)</f>
        <v>9.3710186158698749E-2</v>
      </c>
      <c r="H40" s="39">
        <f>IFERROR('Historical FS '!H107/'Historical FS '!H6,0)</f>
        <v>0.16013603042262187</v>
      </c>
      <c r="I40" s="39">
        <f>IFERROR('Historical FS '!I107/'Historical FS '!I6,0)</f>
        <v>-6.2127851420968425E-2</v>
      </c>
      <c r="J40" s="39">
        <f>IFERROR('Historical FS '!J107/'Historical FS '!J6,0)</f>
        <v>9.9221220699367535E-2</v>
      </c>
      <c r="K40" s="39">
        <f>IFERROR('Historical FS '!K107/'Historical FS '!K6,0)</f>
        <v>0.17225092288348157</v>
      </c>
      <c r="L40" s="39">
        <f>IFERROR('Historical FS '!L107/'Historical FS '!L6,0)</f>
        <v>0.11369796511610758</v>
      </c>
      <c r="M40" s="35"/>
      <c r="N40" s="39">
        <f t="shared" si="2"/>
        <v>0.1037262952098478</v>
      </c>
      <c r="O40" s="39">
        <f t="shared" si="3"/>
        <v>0.1103569370261369</v>
      </c>
    </row>
    <row r="41" spans="2:15" x14ac:dyDescent="0.3">
      <c r="B41" t="s">
        <v>145</v>
      </c>
      <c r="C41" s="40">
        <f>IFERROR('Historical FS '!C107/'Historical FS '!C65,0)</f>
        <v>0.23127036756077951</v>
      </c>
      <c r="D41" s="40">
        <f>IFERROR('Historical FS '!D107/'Historical FS '!D65,0)</f>
        <v>7.4565564896627953E-2</v>
      </c>
      <c r="E41" s="40">
        <f>IFERROR('Historical FS '!E107/'Historical FS '!E65,0)</f>
        <v>0.14770973620043767</v>
      </c>
      <c r="F41" s="40">
        <f>IFERROR('Historical FS '!F107/'Historical FS '!F65,0)</f>
        <v>0.12671673793329247</v>
      </c>
      <c r="G41" s="40">
        <f>IFERROR('Historical FS '!G107/'Historical FS '!G65,0)</f>
        <v>0.11736296448685925</v>
      </c>
      <c r="H41" s="40">
        <f>IFERROR('Historical FS '!H107/'Historical FS '!H65,0)</f>
        <v>0.17081512762744322</v>
      </c>
      <c r="I41" s="40">
        <f>IFERROR('Historical FS '!I107/'Historical FS '!I65,0)</f>
        <v>-7.8751029578242066E-2</v>
      </c>
      <c r="J41" s="40">
        <f>IFERROR('Historical FS '!J107/'Historical FS '!J65,0)</f>
        <v>0.13274200687139656</v>
      </c>
      <c r="K41" s="40">
        <f>IFERROR('Historical FS '!K107/'Historical FS '!K65,0)</f>
        <v>0.20447633957252603</v>
      </c>
      <c r="L41" s="40">
        <f>IFERROR('Historical FS '!L107/'Historical FS '!L65,0)</f>
        <v>0.12699615387783003</v>
      </c>
      <c r="N41" s="40">
        <f t="shared" si="2"/>
        <v>0.12539039694489507</v>
      </c>
      <c r="O41" s="40">
        <f t="shared" si="3"/>
        <v>0.12986908037461331</v>
      </c>
    </row>
    <row r="42" spans="2:15" x14ac:dyDescent="0.3">
      <c r="B42" s="37" t="s">
        <v>144</v>
      </c>
      <c r="C42" s="41">
        <f>IFERROR('Historical FS '!C107/'Historical FS '!C50,0)</f>
        <v>7.5535896563456957</v>
      </c>
      <c r="D42" s="41">
        <f>IFERROR('Historical FS '!D107/'Historical FS '!D50,0)</f>
        <v>1.6507834529035941</v>
      </c>
      <c r="E42" s="41">
        <f>IFERROR('Historical FS '!E107/'Historical FS '!E50,0)</f>
        <v>3.8111842228596071</v>
      </c>
      <c r="F42" s="41">
        <f>IFERROR('Historical FS '!F107/'Historical FS '!F50,0)</f>
        <v>1.5603213094877237</v>
      </c>
      <c r="G42" s="41">
        <f>IFERROR('Historical FS '!G107/'Historical FS '!G50,0)</f>
        <v>1.6933392936969156</v>
      </c>
      <c r="H42" s="41">
        <f>IFERROR('Historical FS '!H107/'Historical FS '!H50,0)</f>
        <v>3.1808035714285716</v>
      </c>
      <c r="I42" s="41">
        <f>IFERROR('Historical FS '!I107/'Historical FS '!I50,0)</f>
        <v>-1.1393426093970558</v>
      </c>
      <c r="J42" s="41">
        <f>IFERROR('Historical FS '!J107/'Historical FS '!J50,0)</f>
        <v>1.7706533100143846</v>
      </c>
      <c r="K42" s="41">
        <f>IFERROR('Historical FS '!K107/'Historical FS '!K50,0)</f>
        <v>2.470922008745625</v>
      </c>
      <c r="L42" s="41">
        <f>IFERROR('Historical FS '!L107/'Historical FS '!L50,0)</f>
        <v>1.6831929580970095</v>
      </c>
      <c r="M42" s="37"/>
      <c r="N42" s="41">
        <f t="shared" si="2"/>
        <v>2.4235447174182072</v>
      </c>
      <c r="O42" s="41">
        <f t="shared" si="3"/>
        <v>1.7319963018556501</v>
      </c>
    </row>
  </sheetData>
  <mergeCells count="1">
    <mergeCell ref="B2:O2"/>
  </mergeCells>
  <pageMargins left="0.7" right="0.7" top="0.75" bottom="0.75" header="0.3" footer="0.3"/>
  <pageSetup paperSize="8" orientation="landscape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markers="1" xr2:uid="{C730D17D-6083-47E0-BE4D-65602864D1AB}">
          <x14:colorSeries theme="7" tint="0.39997558519241921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Analysis'!C40:L40</xm:f>
              <xm:sqref>M40</xm:sqref>
            </x14:sparkline>
            <x14:sparkline>
              <xm:f>'Ratio Analysis'!C41:L41</xm:f>
              <xm:sqref>M41</xm:sqref>
            </x14:sparkline>
            <x14:sparkline>
              <xm:f>'Ratio Analysis'!C42:L42</xm:f>
              <xm:sqref>M42</xm:sqref>
            </x14:sparkline>
          </x14:sparklines>
        </x14:sparklineGroup>
        <x14:sparklineGroup manualMax="0" manualMin="0" displayEmptyCellsAs="gap" markers="1" xr2:uid="{82FFBA1F-BA45-4BD7-B197-F861613E7C8C}">
          <x14:colorSeries theme="7" tint="0.39997558519241921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</x14:sparklines>
        </x14:sparklineGroup>
        <x14:sparklineGroup manualMax="0" manualMin="0" displayEmptyCellsAs="gap" markers="1" xr2:uid="{486699F6-BFE3-4EEA-8384-DA9517688398}">
          <x14:colorSeries theme="7" tint="0.39997558519241921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</x14:sparklines>
        </x14:sparklineGroup>
        <x14:sparklineGroup manualMax="0" manualMin="0" displayEmptyCellsAs="gap" markers="1" xr2:uid="{E20A6423-39C4-4DF3-807E-46E30CD98B3B}">
          <x14:colorSeries theme="7" tint="0.39997558519241921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</x14:sparklines>
        </x14:sparklineGroup>
        <x14:sparklineGroup manualMax="0" manualMin="0" displayEmptyCellsAs="gap" markers="1" xr2:uid="{AA6F9BBC-A15B-4EC3-9919-CE22AD80622A}">
          <x14:colorSeries theme="7" tint="0.39997558519241921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</x14:sparklines>
        </x14:sparklineGroup>
        <x14:sparklineGroup manualMax="0" manualMin="0" displayEmptyCellsAs="gap" markers="1" xr2:uid="{F0DAF7F1-2C0F-4223-9329-CEE62B5D2E95}">
          <x14:colorSeries theme="7" tint="0.39997558519241921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Analysis'!C13:L13</xm:f>
              <xm:sqref>M13</xm:sqref>
            </x14:sparkline>
          </x14:sparklines>
        </x14:sparklineGroup>
        <x14:sparklineGroup manualMax="0" manualMin="0" displayEmptyCellsAs="gap" markers="1" xr2:uid="{69404CAD-1334-47E5-AD2F-9AD793FFE7C7}">
          <x14:colorSeries theme="7" tint="0.39997558519241921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</x14:sparklines>
        </x14:sparklineGroup>
        <x14:sparklineGroup manualMax="0" manualMin="0" displayEmptyCellsAs="gap" markers="1" xr2:uid="{234D7098-F271-41EA-8D3C-3F8F34D522B3}">
          <x14:colorSeries theme="7" tint="0.39997558519241921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  <x14:sparkline>
              <xm:f>'Ratio Analysis'!D10:L10</xm:f>
              <xm:sqref>M10</xm:sqref>
            </x14:sparkline>
            <x14:sparkline>
              <xm:f>'Ratio Analysis'!D11:L11</xm:f>
              <xm:sqref>M11</xm:sqref>
            </x14:sparkline>
          </x14:sparklines>
        </x14:sparklineGroup>
        <x14:sparklineGroup manualMax="0" manualMin="0" displayEmptyCellsAs="gap" markers="1" xr2:uid="{808BD0CD-9C5A-4931-A0D8-E448E3D7A524}">
          <x14:colorSeries theme="7" tint="0.39997558519241921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Analysis'!D5:L5</xm:f>
              <xm:sqref>M5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035A5-0B1F-4834-9413-7BD051AEAF17}">
  <dimension ref="B2:O40"/>
  <sheetViews>
    <sheetView showGridLines="0" zoomScaleNormal="100" workbookViewId="0">
      <selection activeCell="N34" sqref="N34"/>
    </sheetView>
  </sheetViews>
  <sheetFormatPr defaultRowHeight="14.4" x14ac:dyDescent="0.3"/>
  <cols>
    <col min="1" max="1" width="1.88671875" customWidth="1"/>
    <col min="2" max="2" width="21.5546875" customWidth="1"/>
    <col min="3" max="3" width="8" bestFit="1" customWidth="1"/>
    <col min="4" max="12" width="9" bestFit="1" customWidth="1"/>
  </cols>
  <sheetData>
    <row r="2" spans="2:15" x14ac:dyDescent="0.3">
      <c r="B2" s="236" t="str">
        <f>"Common Size Income Statement"&amp;" "&amp;"- "&amp;'Data Sheet'!$B$1</f>
        <v>Common Size Income Statement - ASIAN PAINTS LTD</v>
      </c>
      <c r="C2" s="236"/>
      <c r="D2" s="236"/>
      <c r="E2" s="236"/>
      <c r="F2" s="236"/>
      <c r="G2" s="236"/>
      <c r="H2" s="236"/>
      <c r="I2" s="236"/>
      <c r="J2" s="236"/>
      <c r="K2" s="236"/>
      <c r="L2" s="236"/>
    </row>
    <row r="4" spans="2:15" x14ac:dyDescent="0.3">
      <c r="B4" s="64" t="s">
        <v>156</v>
      </c>
      <c r="C4" s="62">
        <f>'Data Sheet'!B16</f>
        <v>42460</v>
      </c>
      <c r="D4" s="62">
        <f>'Data Sheet'!C16</f>
        <v>42825</v>
      </c>
      <c r="E4" s="62">
        <f>'Data Sheet'!D16</f>
        <v>43190</v>
      </c>
      <c r="F4" s="62">
        <f>'Data Sheet'!E16</f>
        <v>43555</v>
      </c>
      <c r="G4" s="62">
        <f>'Data Sheet'!F16</f>
        <v>43921</v>
      </c>
      <c r="H4" s="62">
        <f>'Data Sheet'!G16</f>
        <v>44286</v>
      </c>
      <c r="I4" s="62">
        <f>'Data Sheet'!H16</f>
        <v>44651</v>
      </c>
      <c r="J4" s="62">
        <f>'Data Sheet'!I16</f>
        <v>45016</v>
      </c>
      <c r="K4" s="62">
        <f>'Data Sheet'!J16</f>
        <v>45382</v>
      </c>
      <c r="L4" s="62">
        <f>'Data Sheet'!K16</f>
        <v>45747</v>
      </c>
      <c r="M4" s="59"/>
      <c r="N4" s="59"/>
      <c r="O4" s="59"/>
    </row>
    <row r="5" spans="2:15" x14ac:dyDescent="0.3">
      <c r="B5" s="65"/>
    </row>
    <row r="6" spans="2:15" x14ac:dyDescent="0.3">
      <c r="B6" s="65" t="str">
        <f>'Data Sheet'!A17</f>
        <v>Sales</v>
      </c>
      <c r="C6" s="63">
        <f>'Data Sheet'!B17/'Data Sheet'!B$17</f>
        <v>1</v>
      </c>
      <c r="D6" s="63">
        <f>'Data Sheet'!C17/'Data Sheet'!C$17</f>
        <v>1</v>
      </c>
      <c r="E6" s="63">
        <f>'Data Sheet'!D17/'Data Sheet'!D$17</f>
        <v>1</v>
      </c>
      <c r="F6" s="63">
        <f>'Data Sheet'!E17/'Data Sheet'!E$17</f>
        <v>1</v>
      </c>
      <c r="G6" s="63">
        <f>'Data Sheet'!F17/'Data Sheet'!F$17</f>
        <v>1</v>
      </c>
      <c r="H6" s="63">
        <f>'Data Sheet'!G17/'Data Sheet'!G$17</f>
        <v>1</v>
      </c>
      <c r="I6" s="63">
        <f>'Data Sheet'!H17/'Data Sheet'!H$17</f>
        <v>1</v>
      </c>
      <c r="J6" s="63">
        <f>'Data Sheet'!I17/'Data Sheet'!I$17</f>
        <v>1</v>
      </c>
      <c r="K6" s="63">
        <f>'Data Sheet'!J17/'Data Sheet'!J$17</f>
        <v>1</v>
      </c>
      <c r="L6" s="63">
        <f>'Data Sheet'!K17/'Data Sheet'!K$17</f>
        <v>1</v>
      </c>
    </row>
    <row r="7" spans="2:15" x14ac:dyDescent="0.3">
      <c r="B7" s="65" t="str">
        <f>'Data Sheet'!A18</f>
        <v>Raw Material Cost</v>
      </c>
      <c r="C7" s="63">
        <f>'Data Sheet'!B18/'Data Sheet'!B$17</f>
        <v>0.46034646697716919</v>
      </c>
      <c r="D7" s="63">
        <f>'Data Sheet'!C18/'Data Sheet'!C$17</f>
        <v>0.4947951764673858</v>
      </c>
      <c r="E7" s="63">
        <f>'Data Sheet'!D18/'Data Sheet'!D$17</f>
        <v>0.48311366425847946</v>
      </c>
      <c r="F7" s="63">
        <f>'Data Sheet'!E18/'Data Sheet'!E$17</f>
        <v>0.51841645560606919</v>
      </c>
      <c r="G7" s="63">
        <f>'Data Sheet'!F18/'Data Sheet'!F$17</f>
        <v>0.49409066732636531</v>
      </c>
      <c r="H7" s="63">
        <f>'Data Sheet'!G18/'Data Sheet'!G$17</f>
        <v>0.48015708713619937</v>
      </c>
      <c r="I7" s="63">
        <f>'Data Sheet'!H18/'Data Sheet'!H$17</f>
        <v>0.58840195345359381</v>
      </c>
      <c r="J7" s="63">
        <f>'Data Sheet'!I18/'Data Sheet'!I$17</f>
        <v>0.55048727709657019</v>
      </c>
      <c r="K7" s="63">
        <f>'Data Sheet'!J18/'Data Sheet'!J$17</f>
        <v>0.49051901507632256</v>
      </c>
      <c r="L7" s="63">
        <f>'Data Sheet'!K18/'Data Sheet'!K$17</f>
        <v>0.51627163874307558</v>
      </c>
    </row>
    <row r="8" spans="2:15" x14ac:dyDescent="0.3">
      <c r="B8" s="65" t="str">
        <f>'Data Sheet'!A19</f>
        <v>Change in Inventory</v>
      </c>
      <c r="C8" s="63">
        <f>'Data Sheet'!B19/'Data Sheet'!B$17</f>
        <v>-1.3967006948818941E-2</v>
      </c>
      <c r="D8" s="63">
        <f>'Data Sheet'!C19/'Data Sheet'!C$17</f>
        <v>3.5094964211236368E-2</v>
      </c>
      <c r="E8" s="63">
        <f>'Data Sheet'!D19/'Data Sheet'!D$17</f>
        <v>-8.4477742346749252E-3</v>
      </c>
      <c r="F8" s="63">
        <f>'Data Sheet'!E19/'Data Sheet'!E$17</f>
        <v>1.5242100755036478E-2</v>
      </c>
      <c r="G8" s="63">
        <f>'Data Sheet'!F19/'Data Sheet'!F$17</f>
        <v>1.1832519017873709E-2</v>
      </c>
      <c r="H8" s="63">
        <f>'Data Sheet'!G19/'Data Sheet'!G$17</f>
        <v>4.2578590775298802E-3</v>
      </c>
      <c r="I8" s="63">
        <f>'Data Sheet'!H19/'Data Sheet'!H$17</f>
        <v>4.5529612443164016E-2</v>
      </c>
      <c r="J8" s="63">
        <f>'Data Sheet'!I19/'Data Sheet'!I$17</f>
        <v>8.9806512820616927E-3</v>
      </c>
      <c r="K8" s="63">
        <f>'Data Sheet'!J19/'Data Sheet'!J$17</f>
        <v>-1.0249408855906214E-2</v>
      </c>
      <c r="L8" s="63">
        <f>'Data Sheet'!K19/'Data Sheet'!K$17</f>
        <v>6.0461952915180431E-3</v>
      </c>
    </row>
    <row r="9" spans="2:15" x14ac:dyDescent="0.3">
      <c r="B9" s="65" t="str">
        <f>'Data Sheet'!A20</f>
        <v>Power and Fuel</v>
      </c>
      <c r="C9" s="63">
        <f>'Data Sheet'!B20/'Data Sheet'!B$17</f>
        <v>8.021587094269764E-3</v>
      </c>
      <c r="D9" s="63">
        <f>'Data Sheet'!C20/'Data Sheet'!C$17</f>
        <v>7.0389105290867941E-3</v>
      </c>
      <c r="E9" s="63">
        <f>'Data Sheet'!D20/'Data Sheet'!D$17</f>
        <v>6.5558959972183504E-3</v>
      </c>
      <c r="F9" s="63">
        <f>'Data Sheet'!E20/'Data Sheet'!E$17</f>
        <v>6.2177334560629266E-3</v>
      </c>
      <c r="G9" s="63">
        <f>'Data Sheet'!F20/'Data Sheet'!F$17</f>
        <v>5.6864370090914714E-3</v>
      </c>
      <c r="H9" s="63">
        <f>'Data Sheet'!G20/'Data Sheet'!G$17</f>
        <v>3.9631019320870327E-3</v>
      </c>
      <c r="I9" s="63">
        <f>'Data Sheet'!H20/'Data Sheet'!H$17</f>
        <v>4.0283451449558234E-3</v>
      </c>
      <c r="J9" s="63">
        <f>'Data Sheet'!I20/'Data Sheet'!I$17</f>
        <v>4.0097319142359837E-3</v>
      </c>
      <c r="K9" s="63">
        <f>'Data Sheet'!J20/'Data Sheet'!J$17</f>
        <v>3.7540784223460775E-3</v>
      </c>
      <c r="L9" s="63">
        <f>'Data Sheet'!K20/'Data Sheet'!K$17</f>
        <v>4.3821643727500045E-3</v>
      </c>
    </row>
    <row r="10" spans="2:15" x14ac:dyDescent="0.3">
      <c r="B10" s="65" t="str">
        <f>'Data Sheet'!A21</f>
        <v>Other Mfr. Exp</v>
      </c>
      <c r="C10" s="63">
        <f>'Data Sheet'!B21/'Data Sheet'!B$17</f>
        <v>0.10757250994815538</v>
      </c>
      <c r="D10" s="63">
        <f>'Data Sheet'!C21/'Data Sheet'!C$17</f>
        <v>0.11039377930804628</v>
      </c>
      <c r="E10" s="63">
        <f>'Data Sheet'!D21/'Data Sheet'!D$17</f>
        <v>0.10054830589822611</v>
      </c>
      <c r="F10" s="63">
        <f>'Data Sheet'!E21/'Data Sheet'!E$17</f>
        <v>9.679508402490003E-2</v>
      </c>
      <c r="G10" s="63">
        <f>'Data Sheet'!F21/'Data Sheet'!F$17</f>
        <v>9.6081142927824853E-2</v>
      </c>
      <c r="H10" s="63">
        <f>'Data Sheet'!G21/'Data Sheet'!G$17</f>
        <v>9.5257679920452407E-2</v>
      </c>
      <c r="I10" s="63">
        <f>'Data Sheet'!H21/'Data Sheet'!H$17</f>
        <v>9.8980182315004703E-2</v>
      </c>
      <c r="J10" s="63">
        <f>'Data Sheet'!I21/'Data Sheet'!I$17</f>
        <v>8.455550081925646E-2</v>
      </c>
      <c r="K10" s="63">
        <f>'Data Sheet'!J21/'Data Sheet'!J$17</f>
        <v>7.796030565664254E-2</v>
      </c>
      <c r="L10" s="63">
        <f>'Data Sheet'!K21/'Data Sheet'!K$17</f>
        <v>7.9261196226466282E-2</v>
      </c>
    </row>
    <row r="11" spans="2:15" x14ac:dyDescent="0.3">
      <c r="B11" s="65" t="str">
        <f>'Data Sheet'!A22</f>
        <v>Employee Cost</v>
      </c>
      <c r="C11" s="63">
        <f>'Data Sheet'!B22/'Data Sheet'!B$17</f>
        <v>6.9718018230752368E-2</v>
      </c>
      <c r="D11" s="63">
        <f>'Data Sheet'!C22/'Data Sheet'!C$17</f>
        <v>6.9040677891832367E-2</v>
      </c>
      <c r="E11" s="63">
        <f>'Data Sheet'!D22/'Data Sheet'!D$17</f>
        <v>6.6681724028280112E-2</v>
      </c>
      <c r="F11" s="63">
        <f>'Data Sheet'!E22/'Data Sheet'!E$17</f>
        <v>6.4588440930492666E-2</v>
      </c>
      <c r="G11" s="63">
        <f>'Data Sheet'!F22/'Data Sheet'!F$17</f>
        <v>6.7846867462428101E-2</v>
      </c>
      <c r="H11" s="63">
        <f>'Data Sheet'!G22/'Data Sheet'!G$17</f>
        <v>7.1276422790438249E-2</v>
      </c>
      <c r="I11" s="63">
        <f>'Data Sheet'!H22/'Data Sheet'!H$17</f>
        <v>6.1667734202756716E-2</v>
      </c>
      <c r="J11" s="63">
        <f>'Data Sheet'!I22/'Data Sheet'!I$17</f>
        <v>5.9045904747048232E-2</v>
      </c>
      <c r="K11" s="63">
        <f>'Data Sheet'!J22/'Data Sheet'!J$17</f>
        <v>6.5782159774141119E-2</v>
      </c>
      <c r="L11" s="63">
        <f>'Data Sheet'!K22/'Data Sheet'!K$17</f>
        <v>7.6853925691375058E-2</v>
      </c>
    </row>
    <row r="12" spans="2:15" x14ac:dyDescent="0.3">
      <c r="B12" s="65" t="str">
        <f>'Data Sheet'!A23</f>
        <v>Selling and admin</v>
      </c>
      <c r="C12" s="63">
        <f>'Data Sheet'!B23/'Data Sheet'!B$17</f>
        <v>0.27413395517917194</v>
      </c>
      <c r="D12" s="63">
        <f>'Data Sheet'!C23/'Data Sheet'!C$17</f>
        <v>0.28973860691714709</v>
      </c>
      <c r="E12" s="63">
        <f>'Data Sheet'!D23/'Data Sheet'!D$17</f>
        <v>0.13402557572119314</v>
      </c>
      <c r="F12" s="63">
        <f>'Data Sheet'!E23/'Data Sheet'!E$17</f>
        <v>0.12301736006981241</v>
      </c>
      <c r="G12" s="63">
        <f>'Data Sheet'!F23/'Data Sheet'!F$17</f>
        <v>0.12978662873399716</v>
      </c>
      <c r="H12" s="63">
        <f>'Data Sheet'!G23/'Data Sheet'!G$17</f>
        <v>0.10342705842961683</v>
      </c>
      <c r="I12" s="63">
        <f>'Data Sheet'!H23/'Data Sheet'!H$17</f>
        <v>0.10109452230279906</v>
      </c>
      <c r="J12" s="63">
        <f>'Data Sheet'!I23/'Data Sheet'!I$17</f>
        <v>0.10150719411840266</v>
      </c>
      <c r="K12" s="63">
        <f>'Data Sheet'!J23/'Data Sheet'!J$17</f>
        <v>0.10739228048783579</v>
      </c>
      <c r="L12" s="63">
        <f>'Data Sheet'!K23/'Data Sheet'!K$17</f>
        <v>0.1142860682093411</v>
      </c>
    </row>
    <row r="13" spans="2:15" x14ac:dyDescent="0.3">
      <c r="B13" s="65" t="str">
        <f>'Data Sheet'!A24</f>
        <v>Other Expenses</v>
      </c>
      <c r="C13" s="63">
        <f>'Data Sheet'!B24/'Data Sheet'!B$17</f>
        <v>-0.12470246624564078</v>
      </c>
      <c r="D13" s="63">
        <f>'Data Sheet'!C24/'Data Sheet'!C$17</f>
        <v>-0.13467476741121193</v>
      </c>
      <c r="E13" s="63">
        <f>'Data Sheet'!D24/'Data Sheet'!D$17</f>
        <v>1.0190465718251008E-2</v>
      </c>
      <c r="F13" s="63">
        <f>'Data Sheet'!E24/'Data Sheet'!E$17</f>
        <v>1.0525396657922789E-2</v>
      </c>
      <c r="G13" s="63">
        <f>'Data Sheet'!F24/'Data Sheet'!F$17</f>
        <v>1.2149174345970685E-2</v>
      </c>
      <c r="H13" s="63">
        <f>'Data Sheet'!G24/'Data Sheet'!G$17</f>
        <v>2.6547947085565692E-2</v>
      </c>
      <c r="I13" s="63">
        <f>'Data Sheet'!H24/'Data Sheet'!H$17</f>
        <v>2.6291627034962038E-2</v>
      </c>
      <c r="J13" s="63">
        <f>'Data Sheet'!I24/'Data Sheet'!I$17</f>
        <v>2.7870376840572496E-2</v>
      </c>
      <c r="K13" s="63">
        <f>'Data Sheet'!J24/'Data Sheet'!J$17</f>
        <v>3.0649620380264902E-2</v>
      </c>
      <c r="L13" s="63">
        <f>'Data Sheet'!K24/'Data Sheet'!K$17</f>
        <v>3.784623316134611E-2</v>
      </c>
    </row>
    <row r="14" spans="2:15" x14ac:dyDescent="0.3">
      <c r="B14" s="65" t="str">
        <f>'Data Sheet'!A25</f>
        <v>Other Income</v>
      </c>
      <c r="C14" s="63">
        <f>'Data Sheet'!B25/'Data Sheet'!B$17</f>
        <v>1.4952187893485543E-2</v>
      </c>
      <c r="D14" s="63">
        <f>'Data Sheet'!C25/'Data Sheet'!C$17</f>
        <v>2.2433954610247383E-2</v>
      </c>
      <c r="E14" s="63">
        <f>'Data Sheet'!D25/'Data Sheet'!D$17</f>
        <v>1.9995185606747286E-2</v>
      </c>
      <c r="F14" s="63">
        <f>'Data Sheet'!E25/'Data Sheet'!E$17</f>
        <v>1.422911383654892E-2</v>
      </c>
      <c r="G14" s="63">
        <f>'Data Sheet'!F25/'Data Sheet'!F$17</f>
        <v>1.7322035994804873E-2</v>
      </c>
      <c r="H14" s="63">
        <f>'Data Sheet'!G25/'Data Sheet'!G$17</f>
        <v>1.5274407388456295E-2</v>
      </c>
      <c r="I14" s="63">
        <f>'Data Sheet'!H25/'Data Sheet'!H$17</f>
        <v>1.0167250375241226E-2</v>
      </c>
      <c r="J14" s="63">
        <f>'Data Sheet'!I25/'Data Sheet'!I$17</f>
        <v>1.2510224395952401E-2</v>
      </c>
      <c r="K14" s="63">
        <f>'Data Sheet'!J25/'Data Sheet'!J$17</f>
        <v>2.3129067329149988E-2</v>
      </c>
      <c r="L14" s="63">
        <f>'Data Sheet'!K25/'Data Sheet'!K$17</f>
        <v>1.0329261048758288E-2</v>
      </c>
    </row>
    <row r="15" spans="2:15" x14ac:dyDescent="0.3">
      <c r="B15" s="65" t="str">
        <f>'Data Sheet'!A26</f>
        <v>Depreciation</v>
      </c>
      <c r="C15" s="63">
        <f>'Data Sheet'!B26/'Data Sheet'!B$17</f>
        <v>1.9309826794539322E-2</v>
      </c>
      <c r="D15" s="63">
        <f>'Data Sheet'!C26/'Data Sheet'!C$17</f>
        <v>2.2227474590011016E-2</v>
      </c>
      <c r="E15" s="63">
        <f>'Data Sheet'!D26/'Data Sheet'!D$17</f>
        <v>2.1425238713665449E-2</v>
      </c>
      <c r="F15" s="63">
        <f>'Data Sheet'!E26/'Data Sheet'!E$17</f>
        <v>3.2335540352378074E-2</v>
      </c>
      <c r="G15" s="63">
        <f>'Data Sheet'!F26/'Data Sheet'!F$17</f>
        <v>3.8617106809326486E-2</v>
      </c>
      <c r="H15" s="63">
        <f>'Data Sheet'!G26/'Data Sheet'!G$17</f>
        <v>3.6442576011650275E-2</v>
      </c>
      <c r="I15" s="63">
        <f>'Data Sheet'!H26/'Data Sheet'!H$17</f>
        <v>2.8052374328551871E-2</v>
      </c>
      <c r="J15" s="63">
        <f>'Data Sheet'!I26/'Data Sheet'!I$17</f>
        <v>2.4878372818372688E-2</v>
      </c>
      <c r="K15" s="63">
        <f>'Data Sheet'!J26/'Data Sheet'!J$17</f>
        <v>2.4031736542297968E-2</v>
      </c>
      <c r="L15" s="63">
        <f>'Data Sheet'!K26/'Data Sheet'!K$17</f>
        <v>3.0270497929251843E-2</v>
      </c>
    </row>
    <row r="16" spans="2:15" x14ac:dyDescent="0.3">
      <c r="B16" s="65" t="str">
        <f>'Data Sheet'!A27</f>
        <v>Interest</v>
      </c>
      <c r="C16" s="63">
        <f>'Data Sheet'!B27/'Data Sheet'!B$17</f>
        <v>3.4334186549547386E-3</v>
      </c>
      <c r="D16" s="63">
        <f>'Data Sheet'!C27/'Data Sheet'!C$17</f>
        <v>2.4784241657310885E-3</v>
      </c>
      <c r="E16" s="63">
        <f>'Data Sheet'!D27/'Data Sheet'!D$17</f>
        <v>2.4648504714836358E-3</v>
      </c>
      <c r="F16" s="63">
        <f>'Data Sheet'!E27/'Data Sheet'!E$17</f>
        <v>5.7416451967840128E-3</v>
      </c>
      <c r="G16" s="63">
        <f>'Data Sheet'!F27/'Data Sheet'!F$17</f>
        <v>5.3410847918857075E-3</v>
      </c>
      <c r="H16" s="63">
        <f>'Data Sheet'!G27/'Data Sheet'!G$17</f>
        <v>4.2200933182700148E-3</v>
      </c>
      <c r="I16" s="63">
        <f>'Data Sheet'!H27/'Data Sheet'!H$17</f>
        <v>3.2785499469439143E-3</v>
      </c>
      <c r="J16" s="63">
        <f>'Data Sheet'!I27/'Data Sheet'!I$17</f>
        <v>4.1883417095335005E-3</v>
      </c>
      <c r="K16" s="63">
        <f>'Data Sheet'!J27/'Data Sheet'!J$17</f>
        <v>5.7802947085384216E-3</v>
      </c>
      <c r="L16" s="63">
        <f>'Data Sheet'!K27/'Data Sheet'!K$17</f>
        <v>6.6956451467337858E-3</v>
      </c>
    </row>
    <row r="17" spans="2:12" x14ac:dyDescent="0.3">
      <c r="B17" s="65" t="str">
        <f>'Data Sheet'!A28</f>
        <v>Profit before tax</v>
      </c>
      <c r="C17" s="63">
        <f>'Data Sheet'!B28/'Data Sheet'!B$17</f>
        <v>0.18315186431129477</v>
      </c>
      <c r="D17" s="63">
        <f>'Data Sheet'!C28/'Data Sheet'!C$17</f>
        <v>0.19649063636345529</v>
      </c>
      <c r="E17" s="63">
        <f>'Data Sheet'!D28/'Data Sheet'!D$17</f>
        <v>0.18654169056527517</v>
      </c>
      <c r="F17" s="63">
        <f>'Data Sheet'!E28/'Data Sheet'!E$17</f>
        <v>0.17183355829716326</v>
      </c>
      <c r="G17" s="63">
        <f>'Data Sheet'!F28/'Data Sheet'!F$17</f>
        <v>0.17955544560578884</v>
      </c>
      <c r="H17" s="63">
        <f>'Data Sheet'!G28/'Data Sheet'!G$17</f>
        <v>0.19824029984170621</v>
      </c>
      <c r="I17" s="63">
        <f>'Data Sheet'!H28/'Data Sheet'!H$17</f>
        <v>0.14390157408883733</v>
      </c>
      <c r="J17" s="63">
        <f>'Data Sheet'!I28/'Data Sheet'!I$17</f>
        <v>0.16494817561402192</v>
      </c>
      <c r="K17" s="63">
        <f>'Data Sheet'!J28/'Data Sheet'!J$17</f>
        <v>0.20701016742485434</v>
      </c>
      <c r="L17" s="63">
        <f>'Data Sheet'!K28/'Data Sheet'!K$17</f>
        <v>0.15050808685993647</v>
      </c>
    </row>
    <row r="18" spans="2:12" x14ac:dyDescent="0.3">
      <c r="B18" s="65" t="str">
        <f>'Data Sheet'!A29</f>
        <v>Tax</v>
      </c>
      <c r="C18" s="63">
        <f>'Data Sheet'!B29/'Data Sheet'!B$17</f>
        <v>5.9173218773933209E-2</v>
      </c>
      <c r="D18" s="63">
        <f>'Data Sheet'!C29/'Data Sheet'!C$17</f>
        <v>6.2627182729506528E-2</v>
      </c>
      <c r="E18" s="63">
        <f>'Data Sheet'!D29/'Data Sheet'!D$17</f>
        <v>6.1871491362324706E-2</v>
      </c>
      <c r="F18" s="63">
        <f>'Data Sheet'!E29/'Data Sheet'!E$17</f>
        <v>5.7071339954563712E-2</v>
      </c>
      <c r="G18" s="63">
        <f>'Data Sheet'!F29/'Data Sheet'!F$17</f>
        <v>4.2295751128703075E-2</v>
      </c>
      <c r="H18" s="63">
        <f>'Data Sheet'!G29/'Data Sheet'!G$17</f>
        <v>5.05508504434483E-2</v>
      </c>
      <c r="I18" s="63">
        <f>'Data Sheet'!H29/'Data Sheet'!H$17</f>
        <v>3.7899020249281136E-2</v>
      </c>
      <c r="J18" s="63">
        <f>'Data Sheet'!I29/'Data Sheet'!I$17</f>
        <v>4.3304176830656176E-2</v>
      </c>
      <c r="K18" s="63">
        <f>'Data Sheet'!J29/'Data Sheet'!J$17</f>
        <v>5.0432275439198995E-2</v>
      </c>
      <c r="L18" s="63">
        <f>'Data Sheet'!K29/'Data Sheet'!K$17</f>
        <v>4.1095252055558924E-2</v>
      </c>
    </row>
    <row r="19" spans="2:12" x14ac:dyDescent="0.3">
      <c r="B19" s="65" t="str">
        <f>'Data Sheet'!A30</f>
        <v>Net profit</v>
      </c>
      <c r="C19" s="63">
        <f>'Data Sheet'!B30/'Data Sheet'!B$17</f>
        <v>0.12228295714042473</v>
      </c>
      <c r="D19" s="63">
        <f>'Data Sheet'!C30/'Data Sheet'!C$17</f>
        <v>0.12876319795724203</v>
      </c>
      <c r="E19" s="63">
        <f>'Data Sheet'!D30/'Data Sheet'!D$17</f>
        <v>0.12118778808348515</v>
      </c>
      <c r="F19" s="63">
        <f>'Data Sheet'!E30/'Data Sheet'!E$17</f>
        <v>0.11205329693718286</v>
      </c>
      <c r="G19" s="63">
        <f>'Data Sheet'!F30/'Data Sheet'!F$17</f>
        <v>0.13384476467313997</v>
      </c>
      <c r="H19" s="63">
        <f>'Data Sheet'!G30/'Data Sheet'!G$17</f>
        <v>0.14458252486207437</v>
      </c>
      <c r="I19" s="63">
        <f>'Data Sheet'!H30/'Data Sheet'!H$17</f>
        <v>0.10413871829692715</v>
      </c>
      <c r="J19" s="63">
        <f>'Data Sheet'!I30/'Data Sheet'!I$17</f>
        <v>0.11906691459407301</v>
      </c>
      <c r="K19" s="63">
        <f>'Data Sheet'!J30/'Data Sheet'!J$17</f>
        <v>0.15383213226301479</v>
      </c>
      <c r="L19" s="63">
        <f>'Data Sheet'!K30/'Data Sheet'!K$17</f>
        <v>0.10815994516543274</v>
      </c>
    </row>
    <row r="20" spans="2:12" x14ac:dyDescent="0.3">
      <c r="B20" s="65" t="str">
        <f>'Data Sheet'!A31</f>
        <v>Dividend Amount</v>
      </c>
      <c r="C20" s="63">
        <f>'Data Sheet'!B31/'Data Sheet'!B$17</f>
        <v>5.0408191436213036E-2</v>
      </c>
      <c r="D20" s="63">
        <f>'Data Sheet'!C31/'Data Sheet'!C$17</f>
        <v>6.559425414570054E-2</v>
      </c>
      <c r="E20" s="63">
        <f>'Data Sheet'!D31/'Data Sheet'!D$17</f>
        <v>4.9600137893732674E-2</v>
      </c>
      <c r="F20" s="63">
        <f>'Data Sheet'!E31/'Data Sheet'!E$17</f>
        <v>5.2346839652330827E-2</v>
      </c>
      <c r="G20" s="63">
        <f>'Data Sheet'!F31/'Data Sheet'!F$17</f>
        <v>5.6950460758241075E-2</v>
      </c>
      <c r="H20" s="63">
        <f>'Data Sheet'!G31/'Data Sheet'!G$17</f>
        <v>7.8855365892637475E-2</v>
      </c>
      <c r="I20" s="63">
        <f>'Data Sheet'!H31/'Data Sheet'!H$17</f>
        <v>6.3119904004222488E-2</v>
      </c>
      <c r="J20" s="63">
        <f>'Data Sheet'!I31/'Data Sheet'!I$17</f>
        <v>7.1338086016273797E-2</v>
      </c>
      <c r="K20" s="63">
        <f>'Data Sheet'!J31/'Data Sheet'!J$17</f>
        <v>8.998913359814259E-2</v>
      </c>
      <c r="L20" s="63">
        <f>'Data Sheet'!K31/'Data Sheet'!K$17</f>
        <v>7.0160050162775378E-2</v>
      </c>
    </row>
    <row r="21" spans="2:12" x14ac:dyDescent="0.3">
      <c r="B21" s="65" t="str">
        <f>'Data Sheet'!A33</f>
        <v>EBIDTA</v>
      </c>
      <c r="C21" s="63">
        <f>'Data Sheet'!B33/'Data Sheet'!B$17</f>
        <v>0.204199421363852</v>
      </c>
      <c r="D21" s="63">
        <f>'Data Sheet'!C33/'Data Sheet'!C$17</f>
        <v>0.21609627944249069</v>
      </c>
      <c r="E21" s="63">
        <f>'Data Sheet'!D33/'Data Sheet'!D$17</f>
        <v>0.20694936863095892</v>
      </c>
      <c r="F21" s="63">
        <f>'Data Sheet'!E33/'Data Sheet'!E$17</f>
        <v>0.20720182244090862</v>
      </c>
      <c r="G21" s="63">
        <f>'Data Sheet'!F33/'Data Sheet'!F$17</f>
        <v>0.2200987074030552</v>
      </c>
      <c r="H21" s="63">
        <f>'Data Sheet'!G33/'Data Sheet'!G$17</f>
        <v>0.23579604463544293</v>
      </c>
      <c r="I21" s="63">
        <f>'Data Sheet'!H33/'Data Sheet'!H$17</f>
        <v>0.17336866282170407</v>
      </c>
      <c r="J21" s="63">
        <f>'Data Sheet'!I33/'Data Sheet'!I$17</f>
        <v>0.19143780595263538</v>
      </c>
      <c r="K21" s="63">
        <f>'Data Sheet'!J33/'Data Sheet'!J$17</f>
        <v>0.23407643895305019</v>
      </c>
      <c r="L21" s="63">
        <f>'Data Sheet'!K33/'Data Sheet'!K$17</f>
        <v>0.18622134029697732</v>
      </c>
    </row>
    <row r="23" spans="2:12" x14ac:dyDescent="0.3">
      <c r="B23" s="236" t="str">
        <f>"Common Size Balance Sheet"&amp;" "&amp;"- "&amp;'Data Sheet'!$B$1</f>
        <v>Common Size Balance Sheet - ASIAN PAINTS LTD</v>
      </c>
      <c r="C23" s="236"/>
      <c r="D23" s="236"/>
      <c r="E23" s="236"/>
      <c r="F23" s="236"/>
      <c r="G23" s="236"/>
      <c r="H23" s="236"/>
      <c r="I23" s="236"/>
      <c r="J23" s="236"/>
      <c r="K23" s="236"/>
      <c r="L23" s="236"/>
    </row>
    <row r="25" spans="2:12" x14ac:dyDescent="0.3">
      <c r="B25" s="64" t="s">
        <v>156</v>
      </c>
      <c r="C25" s="62">
        <f>'Data Sheet'!B56</f>
        <v>42460</v>
      </c>
      <c r="D25" s="62">
        <f>'Data Sheet'!C56</f>
        <v>42825</v>
      </c>
      <c r="E25" s="62">
        <f>'Data Sheet'!D56</f>
        <v>43190</v>
      </c>
      <c r="F25" s="62">
        <f>'Data Sheet'!E56</f>
        <v>43555</v>
      </c>
      <c r="G25" s="62">
        <f>'Data Sheet'!F56</f>
        <v>43921</v>
      </c>
      <c r="H25" s="62">
        <f>'Data Sheet'!G56</f>
        <v>44286</v>
      </c>
      <c r="I25" s="62">
        <f>'Data Sheet'!H56</f>
        <v>44651</v>
      </c>
      <c r="J25" s="62">
        <f>'Data Sheet'!I56</f>
        <v>45016</v>
      </c>
      <c r="K25" s="62">
        <f>'Data Sheet'!J56</f>
        <v>45382</v>
      </c>
      <c r="L25" s="62">
        <f>'Data Sheet'!K56</f>
        <v>45747</v>
      </c>
    </row>
    <row r="26" spans="2:12" x14ac:dyDescent="0.3">
      <c r="B26" s="66"/>
      <c r="C26" s="67"/>
      <c r="D26" s="67"/>
      <c r="E26" s="67"/>
      <c r="F26" s="67"/>
      <c r="G26" s="67"/>
      <c r="H26" s="67"/>
      <c r="I26" s="67"/>
      <c r="J26" s="67"/>
      <c r="K26" s="67"/>
      <c r="L26" s="67"/>
    </row>
    <row r="27" spans="2:12" x14ac:dyDescent="0.3">
      <c r="B27" s="2" t="s">
        <v>157</v>
      </c>
      <c r="C27" s="68">
        <f>'Data Sheet'!B61/'Data Sheet'!B$61</f>
        <v>1</v>
      </c>
      <c r="D27" s="68">
        <f>'Data Sheet'!C61/'Data Sheet'!C$61</f>
        <v>1</v>
      </c>
      <c r="E27" s="68">
        <f>'Data Sheet'!D61/'Data Sheet'!D$61</f>
        <v>1</v>
      </c>
      <c r="F27" s="68">
        <f>'Data Sheet'!E61/'Data Sheet'!E$61</f>
        <v>1</v>
      </c>
      <c r="G27" s="68">
        <f>'Data Sheet'!F61/'Data Sheet'!F$61</f>
        <v>1</v>
      </c>
      <c r="H27" s="68">
        <f>'Data Sheet'!G61/'Data Sheet'!G$61</f>
        <v>1</v>
      </c>
      <c r="I27" s="68">
        <f>'Data Sheet'!H61/'Data Sheet'!H$61</f>
        <v>1</v>
      </c>
      <c r="J27" s="68">
        <f>'Data Sheet'!I61/'Data Sheet'!I$61</f>
        <v>1</v>
      </c>
      <c r="K27" s="68">
        <f>'Data Sheet'!J61/'Data Sheet'!J$61</f>
        <v>1</v>
      </c>
      <c r="L27" s="68">
        <f>'Data Sheet'!K61/'Data Sheet'!K$61</f>
        <v>1</v>
      </c>
    </row>
    <row r="28" spans="2:12" x14ac:dyDescent="0.3">
      <c r="B28" t="str">
        <f>'Data Sheet'!A57</f>
        <v>Equity Share Capital</v>
      </c>
      <c r="C28" s="54">
        <f>'Data Sheet'!B57/'Data Sheet'!B$61</f>
        <v>9.0841677691984955E-3</v>
      </c>
      <c r="D28" s="54">
        <f>'Data Sheet'!C57/'Data Sheet'!C$61</f>
        <v>7.732247551226543E-3</v>
      </c>
      <c r="E28" s="54">
        <f>'Data Sheet'!D57/'Data Sheet'!D$61</f>
        <v>6.969167681429406E-3</v>
      </c>
      <c r="F28" s="54">
        <f>'Data Sheet'!E57/'Data Sheet'!E$61</f>
        <v>5.9031906277617358E-3</v>
      </c>
      <c r="G28" s="54">
        <f>'Data Sheet'!F57/'Data Sheet'!F$61</f>
        <v>5.9437463324073601E-3</v>
      </c>
      <c r="H28" s="54">
        <f>'Data Sheet'!G57/'Data Sheet'!G$61</f>
        <v>4.712276974985434E-3</v>
      </c>
      <c r="I28" s="54">
        <f>'Data Sheet'!H57/'Data Sheet'!H$61</f>
        <v>4.1779860382439044E-3</v>
      </c>
      <c r="J28" s="54">
        <f>'Data Sheet'!I57/'Data Sheet'!I$61</f>
        <v>3.7208104322338864E-3</v>
      </c>
      <c r="K28" s="54">
        <f>'Data Sheet'!J57/'Data Sheet'!J$61</f>
        <v>3.2079441432444717E-3</v>
      </c>
      <c r="L28" s="54">
        <f>'Data Sheet'!K57/'Data Sheet'!K$61</f>
        <v>3.1599146770328033E-3</v>
      </c>
    </row>
    <row r="29" spans="2:12" x14ac:dyDescent="0.3">
      <c r="B29" t="str">
        <f>'Data Sheet'!A58</f>
        <v>Reserves</v>
      </c>
      <c r="C29" s="54">
        <f>'Data Sheet'!B58/'Data Sheet'!B$61</f>
        <v>0.60885327534820899</v>
      </c>
      <c r="D29" s="54">
        <f>'Data Sheet'!C58/'Data Sheet'!C$61</f>
        <v>0.60522813435344402</v>
      </c>
      <c r="E29" s="54">
        <f>'Data Sheet'!D58/'Data Sheet'!D$61</f>
        <v>0.60408486807115636</v>
      </c>
      <c r="F29" s="54">
        <f>'Data Sheet'!E58/'Data Sheet'!E$61</f>
        <v>0.57694149243884485</v>
      </c>
      <c r="G29" s="54">
        <f>'Data Sheet'!F58/'Data Sheet'!F$61</f>
        <v>0.62177832775745645</v>
      </c>
      <c r="H29" s="54">
        <f>'Data Sheet'!G58/'Data Sheet'!G$61</f>
        <v>0.62442435252862394</v>
      </c>
      <c r="I29" s="54">
        <f>'Data Sheet'!H58/'Data Sheet'!H$61</f>
        <v>0.59741193104232293</v>
      </c>
      <c r="J29" s="54">
        <f>'Data Sheet'!I58/'Data Sheet'!I$61</f>
        <v>0.61663006757739625</v>
      </c>
      <c r="K29" s="54">
        <f>'Data Sheet'!J58/'Data Sheet'!J$61</f>
        <v>0.62314047430885566</v>
      </c>
      <c r="L29" s="54">
        <f>'Data Sheet'!K58/'Data Sheet'!K$61</f>
        <v>0.63593249932054585</v>
      </c>
    </row>
    <row r="30" spans="2:12" x14ac:dyDescent="0.3">
      <c r="B30" t="str">
        <f>'Data Sheet'!A59</f>
        <v>Borrowings</v>
      </c>
      <c r="C30" s="54">
        <f>'Data Sheet'!B59/'Data Sheet'!B$61</f>
        <v>3.0617395726690803E-2</v>
      </c>
      <c r="D30" s="54">
        <f>'Data Sheet'!C59/'Data Sheet'!C$61</f>
        <v>4.5169803928839465E-2</v>
      </c>
      <c r="E30" s="54">
        <f>'Data Sheet'!D59/'Data Sheet'!D$61</f>
        <v>3.8756913222528021E-2</v>
      </c>
      <c r="F30" s="54">
        <f>'Data Sheet'!E59/'Data Sheet'!E$61</f>
        <v>8.1211951130049892E-2</v>
      </c>
      <c r="G30" s="54">
        <f>'Data Sheet'!F59/'Data Sheet'!F$61</f>
        <v>6.9308593336088742E-2</v>
      </c>
      <c r="H30" s="54">
        <f>'Data Sheet'!G59/'Data Sheet'!G$61</f>
        <v>5.3701878720768106E-2</v>
      </c>
      <c r="I30" s="54">
        <f>'Data Sheet'!H59/'Data Sheet'!H$61</f>
        <v>6.9119708969646448E-2</v>
      </c>
      <c r="J30" s="54">
        <f>'Data Sheet'!I59/'Data Sheet'!I$61</f>
        <v>7.4967813360548932E-2</v>
      </c>
      <c r="K30" s="54">
        <f>'Data Sheet'!J59/'Data Sheet'!J$61</f>
        <v>8.2753052847802919E-2</v>
      </c>
      <c r="L30" s="54">
        <f>'Data Sheet'!K59/'Data Sheet'!K$61</f>
        <v>7.5449551560273762E-2</v>
      </c>
    </row>
    <row r="31" spans="2:12" x14ac:dyDescent="0.3">
      <c r="B31" t="str">
        <f>'Data Sheet'!A60</f>
        <v>Other Liabilities</v>
      </c>
      <c r="C31" s="54">
        <f>'Data Sheet'!B60/'Data Sheet'!B$61</f>
        <v>0.35144516115590163</v>
      </c>
      <c r="D31" s="54">
        <f>'Data Sheet'!C60/'Data Sheet'!C$61</f>
        <v>0.34186981416648998</v>
      </c>
      <c r="E31" s="54">
        <f>'Data Sheet'!D60/'Data Sheet'!D$61</f>
        <v>0.35018905102488612</v>
      </c>
      <c r="F31" s="54">
        <f>'Data Sheet'!E60/'Data Sheet'!E$61</f>
        <v>0.3359433658033435</v>
      </c>
      <c r="G31" s="54">
        <f>'Data Sheet'!F60/'Data Sheet'!F$61</f>
        <v>0.30296933257404746</v>
      </c>
      <c r="H31" s="54">
        <f>'Data Sheet'!G60/'Data Sheet'!G$61</f>
        <v>0.31716149177562253</v>
      </c>
      <c r="I31" s="54">
        <f>'Data Sheet'!H60/'Data Sheet'!H$61</f>
        <v>0.32929037394978661</v>
      </c>
      <c r="J31" s="54">
        <f>'Data Sheet'!I60/'Data Sheet'!I$61</f>
        <v>0.30468130862982085</v>
      </c>
      <c r="K31" s="54">
        <f>'Data Sheet'!J60/'Data Sheet'!J$61</f>
        <v>0.29089852870009703</v>
      </c>
      <c r="L31" s="54">
        <f>'Data Sheet'!K60/'Data Sheet'!K$61</f>
        <v>0.28545803444214757</v>
      </c>
    </row>
    <row r="33" spans="2:13" x14ac:dyDescent="0.3">
      <c r="B33" s="2" t="s">
        <v>83</v>
      </c>
      <c r="C33" s="54">
        <f>'Data Sheet'!B76/'Data Sheet'!B$76</f>
        <v>1</v>
      </c>
      <c r="D33" s="54">
        <f>'Data Sheet'!C76/'Data Sheet'!C$76</f>
        <v>1</v>
      </c>
      <c r="E33" s="54">
        <f>'Data Sheet'!D76/'Data Sheet'!D$76</f>
        <v>1</v>
      </c>
      <c r="F33" s="54">
        <f>'Data Sheet'!E76/'Data Sheet'!E$76</f>
        <v>1</v>
      </c>
      <c r="G33" s="54">
        <f>'Data Sheet'!F76/'Data Sheet'!F$76</f>
        <v>1</v>
      </c>
      <c r="H33" s="54">
        <f>'Data Sheet'!G76/'Data Sheet'!G$76</f>
        <v>1</v>
      </c>
      <c r="I33" s="54">
        <f>'Data Sheet'!H76/'Data Sheet'!H$76</f>
        <v>1</v>
      </c>
      <c r="J33" s="54">
        <f>'Data Sheet'!I76/'Data Sheet'!I$76</f>
        <v>1</v>
      </c>
      <c r="K33" s="54">
        <f>'Data Sheet'!J76/'Data Sheet'!J$76</f>
        <v>1</v>
      </c>
      <c r="L33" s="54">
        <f>'Data Sheet'!K76/'Data Sheet'!K$76</f>
        <v>1</v>
      </c>
    </row>
    <row r="34" spans="2:13" x14ac:dyDescent="0.3">
      <c r="B34" t="str">
        <f>'Data Sheet'!A62</f>
        <v>Net Block</v>
      </c>
      <c r="C34" s="54">
        <f>'Data Sheet'!B62/'Data Sheet'!B$76</f>
        <v>0.32354771224250711</v>
      </c>
      <c r="D34" s="54">
        <f>'Data Sheet'!C62/'Data Sheet'!C$76</f>
        <v>0.26631917769901142</v>
      </c>
      <c r="E34" s="54">
        <f>'Data Sheet'!D62/'Data Sheet'!D$76</f>
        <v>0.2711697913609058</v>
      </c>
      <c r="F34" s="54">
        <f>'Data Sheet'!E62/'Data Sheet'!E$76</f>
        <v>0.39981684846425963</v>
      </c>
      <c r="G34" s="54">
        <f>'Data Sheet'!F62/'Data Sheet'!F$76</f>
        <v>0.38866784360114692</v>
      </c>
      <c r="H34" s="54">
        <f>'Data Sheet'!G62/'Data Sheet'!G$76</f>
        <v>0.28781243644173965</v>
      </c>
      <c r="I34" s="54">
        <f>'Data Sheet'!H62/'Data Sheet'!H$76</f>
        <v>0.240393615765538</v>
      </c>
      <c r="J34" s="54">
        <f>'Data Sheet'!I62/'Data Sheet'!I$76</f>
        <v>0.22384057304825222</v>
      </c>
      <c r="K34" s="54">
        <f>'Data Sheet'!J62/'Data Sheet'!J$76</f>
        <v>0.23901123616549005</v>
      </c>
      <c r="L34" s="54">
        <f>'Data Sheet'!K62/'Data Sheet'!K$76</f>
        <v>0.30373988025135684</v>
      </c>
    </row>
    <row r="35" spans="2:13" x14ac:dyDescent="0.3">
      <c r="B35" t="str">
        <f>'Data Sheet'!A63</f>
        <v>Capital Work in Progress</v>
      </c>
      <c r="C35" s="54">
        <f>'Data Sheet'!B63/'Data Sheet'!B$76</f>
        <v>1.0094677257285944E-2</v>
      </c>
      <c r="D35" s="54">
        <f>'Data Sheet'!C63/'Data Sheet'!C$76</f>
        <v>2.0760665495651417E-2</v>
      </c>
      <c r="E35" s="54">
        <f>'Data Sheet'!D63/'Data Sheet'!D$76</f>
        <v>0.10208973311982143</v>
      </c>
      <c r="F35" s="54">
        <f>'Data Sheet'!E63/'Data Sheet'!E$76</f>
        <v>1.2903690355742316E-2</v>
      </c>
      <c r="G35" s="54">
        <f>'Data Sheet'!F63/'Data Sheet'!F$76</f>
        <v>8.6900644876648069E-3</v>
      </c>
      <c r="H35" s="54">
        <f>'Data Sheet'!G63/'Data Sheet'!G$76</f>
        <v>8.9892873319728384E-3</v>
      </c>
      <c r="I35" s="54">
        <f>'Data Sheet'!H63/'Data Sheet'!H$76</f>
        <v>1.8574005278235488E-2</v>
      </c>
      <c r="J35" s="54">
        <f>'Data Sheet'!I63/'Data Sheet'!I$76</f>
        <v>3.9550678780247588E-2</v>
      </c>
      <c r="K35" s="54">
        <f>'Data Sheet'!J63/'Data Sheet'!J$76</f>
        <v>9.0244164280719186E-2</v>
      </c>
      <c r="L35" s="54">
        <f>'Data Sheet'!K63/'Data Sheet'!K$76</f>
        <v>4.1326953327678079E-2</v>
      </c>
    </row>
    <row r="36" spans="2:13" x14ac:dyDescent="0.3">
      <c r="B36" t="str">
        <f>'Data Sheet'!A64</f>
        <v>Investments</v>
      </c>
      <c r="C36" s="54">
        <f>'Data Sheet'!B64/'Data Sheet'!B$76</f>
        <v>0.25685408602873561</v>
      </c>
      <c r="D36" s="54">
        <f>'Data Sheet'!C64/'Data Sheet'!C$76</f>
        <v>0.21378068372995493</v>
      </c>
      <c r="E36" s="54">
        <f>'Data Sheet'!D64/'Data Sheet'!D$76</f>
        <v>0.15553479207293502</v>
      </c>
      <c r="F36" s="54">
        <f>'Data Sheet'!E64/'Data Sheet'!E$76</f>
        <v>0.15807774585755044</v>
      </c>
      <c r="G36" s="54">
        <f>'Data Sheet'!F64/'Data Sheet'!F$76</f>
        <v>0.12509937743099039</v>
      </c>
      <c r="H36" s="54">
        <f>'Data Sheet'!G64/'Data Sheet'!G$76</f>
        <v>0.23270552100824649</v>
      </c>
      <c r="I36" s="54">
        <f>'Data Sheet'!H64/'Data Sheet'!H$76</f>
        <v>0.14145261675123255</v>
      </c>
      <c r="J36" s="54">
        <f>'Data Sheet'!I64/'Data Sheet'!I$76</f>
        <v>0.16531500236817637</v>
      </c>
      <c r="K36" s="54">
        <f>'Data Sheet'!J64/'Data Sheet'!J$76</f>
        <v>0.15343818904998099</v>
      </c>
      <c r="L36" s="54">
        <f>'Data Sheet'!K64/'Data Sheet'!K$76</f>
        <v>0.1556485286729643</v>
      </c>
    </row>
    <row r="37" spans="2:13" x14ac:dyDescent="0.3">
      <c r="B37" t="str">
        <f>'Data Sheet'!A65</f>
        <v>Other Assets</v>
      </c>
      <c r="C37" s="54">
        <f>'Data Sheet'!B74/'Data Sheet'!B$76</f>
        <v>6.7688035738131272E-2</v>
      </c>
      <c r="D37" s="54">
        <f>'Data Sheet'!C74/'Data Sheet'!C$76</f>
        <v>0.10617894607015289</v>
      </c>
      <c r="E37" s="54">
        <f>'Data Sheet'!D74/'Data Sheet'!D$76</f>
        <v>0.12292240043942376</v>
      </c>
      <c r="F37" s="54">
        <f>'Data Sheet'!E74/'Data Sheet'!E$76</f>
        <v>9.0588620479984977E-2</v>
      </c>
      <c r="G37" s="54">
        <f>'Data Sheet'!F74/'Data Sheet'!F$76</f>
        <v>0.10774031678085906</v>
      </c>
      <c r="H37" s="54">
        <f>'Data Sheet'!G74/'Data Sheet'!G$76</f>
        <v>0.1260367058472126</v>
      </c>
      <c r="I37" s="54">
        <f>'Data Sheet'!H74/'Data Sheet'!H$76</f>
        <v>0.12529863758105408</v>
      </c>
      <c r="J37" s="54">
        <f>'Data Sheet'!I74/'Data Sheet'!I$76</f>
        <v>0.11777536499203044</v>
      </c>
      <c r="K37" s="54">
        <f>'Data Sheet'!J74/'Data Sheet'!J$76</f>
        <v>0.11944140568955251</v>
      </c>
      <c r="L37" s="54">
        <f>'Data Sheet'!K74/'Data Sheet'!K$76</f>
        <v>0.11006366279309181</v>
      </c>
      <c r="M37" s="54"/>
    </row>
    <row r="38" spans="2:13" x14ac:dyDescent="0.3">
      <c r="B38" t="str">
        <f>'Data Sheet'!A67</f>
        <v>Receivables</v>
      </c>
      <c r="C38" s="54">
        <f>'Data Sheet'!B67/'Data Sheet'!B$76</f>
        <v>0.11240047618010365</v>
      </c>
      <c r="D38" s="54">
        <f>'Data Sheet'!C67/'Data Sheet'!C$76</f>
        <v>0.11661248235617511</v>
      </c>
      <c r="E38" s="54">
        <f>'Data Sheet'!D67/'Data Sheet'!D$76</f>
        <v>0.12574072836230374</v>
      </c>
      <c r="F38" s="54">
        <f>'Data Sheet'!E67/'Data Sheet'!E$76</f>
        <v>0.11738253315313585</v>
      </c>
      <c r="G38" s="54">
        <f>'Data Sheet'!F67/'Data Sheet'!F$76</f>
        <v>0.111241996360137</v>
      </c>
      <c r="H38" s="54">
        <f>'Data Sheet'!G67/'Data Sheet'!G$76</f>
        <v>0.12783721618012767</v>
      </c>
      <c r="I38" s="54">
        <f>'Data Sheet'!H67/'Data Sheet'!H$76</f>
        <v>0.168628255503534</v>
      </c>
      <c r="J38" s="54">
        <f>'Data Sheet'!I67/'Data Sheet'!I$76</f>
        <v>0.17987046211053581</v>
      </c>
      <c r="K38" s="54">
        <f>'Data Sheet'!J67/'Data Sheet'!J$76</f>
        <v>0.16350916715522712</v>
      </c>
      <c r="L38" s="54">
        <f>'Data Sheet'!K67/'Data Sheet'!K$76</f>
        <v>0.14210556658238688</v>
      </c>
    </row>
    <row r="39" spans="2:13" x14ac:dyDescent="0.3">
      <c r="B39" t="str">
        <f>'Data Sheet'!A68</f>
        <v>Inventory</v>
      </c>
      <c r="C39" s="54">
        <f>'Data Sheet'!B68/'Data Sheet'!B$76</f>
        <v>0.18924465599586324</v>
      </c>
      <c r="D39" s="54">
        <f>'Data Sheet'!C68/'Data Sheet'!C$76</f>
        <v>0.21176136762113276</v>
      </c>
      <c r="E39" s="54">
        <f>'Data Sheet'!D68/'Data Sheet'!D$76</f>
        <v>0.19314228668912223</v>
      </c>
      <c r="F39" s="54">
        <f>'Data Sheet'!E68/'Data Sheet'!E$76</f>
        <v>0.19385137646748937</v>
      </c>
      <c r="G39" s="54">
        <f>'Data Sheet'!F68/'Data Sheet'!F$76</f>
        <v>0.21005182188342153</v>
      </c>
      <c r="H39" s="54">
        <f>'Data Sheet'!G68/'Data Sheet'!G$76</f>
        <v>0.18661442157193148</v>
      </c>
      <c r="I39" s="54">
        <f>'Data Sheet'!H68/'Data Sheet'!H$76</f>
        <v>0.26800525994155522</v>
      </c>
      <c r="J39" s="54">
        <f>'Data Sheet'!I68/'Data Sheet'!I$76</f>
        <v>0.24091549314896857</v>
      </c>
      <c r="K39" s="54">
        <f>'Data Sheet'!J68/'Data Sheet'!J$76</f>
        <v>0.19810225622952185</v>
      </c>
      <c r="L39" s="54">
        <f>'Data Sheet'!K68/'Data Sheet'!K$76</f>
        <v>0.22135446092521063</v>
      </c>
    </row>
    <row r="40" spans="2:13" x14ac:dyDescent="0.3">
      <c r="B40" t="str">
        <f>'Data Sheet'!A69</f>
        <v>Cash &amp; Bank</v>
      </c>
      <c r="C40" s="54">
        <f>'Data Sheet'!B69/'Data Sheet'!B$76</f>
        <v>4.0174144784132629E-2</v>
      </c>
      <c r="D40" s="54">
        <f>'Data Sheet'!C69/'Data Sheet'!C$76</f>
        <v>6.4586677027921383E-2</v>
      </c>
      <c r="E40" s="54">
        <f>'Data Sheet'!D69/'Data Sheet'!D$76</f>
        <v>2.9400267955488002E-2</v>
      </c>
      <c r="F40" s="54">
        <f>'Data Sheet'!E69/'Data Sheet'!E$76</f>
        <v>2.7379185221837375E-2</v>
      </c>
      <c r="G40" s="54">
        <f>'Data Sheet'!F69/'Data Sheet'!F$76</f>
        <v>4.8508579455780382E-2</v>
      </c>
      <c r="H40" s="54">
        <f>'Data Sheet'!G69/'Data Sheet'!G$76</f>
        <v>3.0004411618769326E-2</v>
      </c>
      <c r="I40" s="54">
        <f>'Data Sheet'!H69/'Data Sheet'!H$76</f>
        <v>3.7647609178850648E-2</v>
      </c>
      <c r="J40" s="54">
        <f>'Data Sheet'!I69/'Data Sheet'!I$76</f>
        <v>3.2732425551788971E-2</v>
      </c>
      <c r="K40" s="54">
        <f>'Data Sheet'!J69/'Data Sheet'!J$76</f>
        <v>3.6253581429508339E-2</v>
      </c>
      <c r="L40" s="54">
        <f>'Data Sheet'!K69/'Data Sheet'!K$76</f>
        <v>2.576094744731142E-2</v>
      </c>
    </row>
  </sheetData>
  <mergeCells count="2">
    <mergeCell ref="B2:L2"/>
    <mergeCell ref="B23:L23"/>
  </mergeCells>
  <pageMargins left="0.7" right="0.38" top="0.75" bottom="5.1100000000000003" header="0.3" footer="0.3"/>
  <pageSetup paperSize="1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81348-B1FB-41B8-8660-5A27E863EB68}">
  <dimension ref="A1:AE41"/>
  <sheetViews>
    <sheetView showGridLines="0" topLeftCell="A36" zoomScale="89" workbookViewId="0">
      <selection activeCell="G54" sqref="G54"/>
    </sheetView>
  </sheetViews>
  <sheetFormatPr defaultRowHeight="14.4" x14ac:dyDescent="0.3"/>
  <cols>
    <col min="1" max="1" width="1.88671875" customWidth="1"/>
    <col min="2" max="2" width="11.109375" bestFit="1" customWidth="1"/>
    <col min="3" max="3" width="7.88671875" customWidth="1"/>
    <col min="4" max="4" width="10.109375" customWidth="1"/>
    <col min="5" max="5" width="14.44140625" bestFit="1" customWidth="1"/>
    <col min="7" max="7" width="11.109375" bestFit="1" customWidth="1"/>
    <col min="8" max="9" width="12.44140625" customWidth="1"/>
    <col min="10" max="10" width="13.88671875" bestFit="1" customWidth="1"/>
    <col min="11" max="11" width="8.33203125" customWidth="1"/>
    <col min="12" max="12" width="11.5546875" bestFit="1" customWidth="1"/>
    <col min="13" max="13" width="9.109375" customWidth="1"/>
    <col min="14" max="14" width="11.21875" customWidth="1"/>
    <col min="15" max="15" width="14.6640625" customWidth="1"/>
    <col min="17" max="20" width="11.88671875" customWidth="1"/>
    <col min="22" max="22" width="11.5546875" bestFit="1" customWidth="1"/>
    <col min="23" max="23" width="10.44140625" customWidth="1"/>
    <col min="24" max="24" width="12.33203125" customWidth="1"/>
    <col min="25" max="25" width="13" customWidth="1"/>
  </cols>
  <sheetData>
    <row r="1" spans="1:31" x14ac:dyDescent="0.3">
      <c r="A1" s="20"/>
    </row>
    <row r="2" spans="1:31" s="20" customFormat="1" x14ac:dyDescent="0.3"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</row>
    <row r="3" spans="1:31" s="20" customFormat="1" x14ac:dyDescent="0.3"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T3" t="s">
        <v>169</v>
      </c>
      <c r="U3"/>
      <c r="V3"/>
      <c r="W3"/>
      <c r="X3"/>
      <c r="Y3"/>
      <c r="Z3"/>
      <c r="AA3"/>
      <c r="AB3"/>
      <c r="AC3"/>
      <c r="AD3"/>
      <c r="AE3"/>
    </row>
    <row r="4" spans="1:31" s="20" customFormat="1" ht="15" thickBot="1" x14ac:dyDescent="0.35"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T4"/>
      <c r="U4"/>
      <c r="V4"/>
      <c r="W4"/>
      <c r="X4"/>
      <c r="Y4"/>
      <c r="Z4"/>
      <c r="AA4"/>
      <c r="AB4"/>
      <c r="AC4"/>
      <c r="AD4"/>
      <c r="AE4"/>
    </row>
    <row r="5" spans="1:31" x14ac:dyDescent="0.3">
      <c r="T5" s="183" t="s">
        <v>170</v>
      </c>
      <c r="U5" s="183"/>
    </row>
    <row r="6" spans="1:31" x14ac:dyDescent="0.3">
      <c r="B6" s="238" t="str">
        <f>'Data Sheet'!$B$1&amp;" - "&amp;'Data Sheet'!A17&amp;" Forecasting "</f>
        <v xml:space="preserve">ASIAN PAINTS LTD - Sales Forecasting </v>
      </c>
      <c r="C6" s="238"/>
      <c r="D6" s="238"/>
      <c r="E6" s="238"/>
      <c r="G6" s="238" t="str">
        <f>'Data Sheet'!$B$1&amp;" - "&amp;'Historical FS '!B18&amp;" Forecasting "</f>
        <v xml:space="preserve">ASIAN PAINTS LTD - EBITDA Forecasting </v>
      </c>
      <c r="H6" s="238"/>
      <c r="I6" s="238"/>
      <c r="J6" s="238"/>
      <c r="L6" s="238" t="str">
        <f>'Data Sheet'!$B$1&amp;" - "&amp;'Historical FS '!B38&amp;" Forecasting "</f>
        <v xml:space="preserve">ASIAN PAINTS LTD - Earning per Shares Forecasting </v>
      </c>
      <c r="M6" s="238"/>
      <c r="N6" s="238"/>
      <c r="O6" s="238"/>
      <c r="T6" t="s">
        <v>171</v>
      </c>
      <c r="U6">
        <v>0.87815402914069807</v>
      </c>
    </row>
    <row r="7" spans="1:31" x14ac:dyDescent="0.3">
      <c r="B7" s="48" t="s">
        <v>151</v>
      </c>
      <c r="C7" s="50" t="s">
        <v>152</v>
      </c>
      <c r="D7" s="50" t="s">
        <v>1</v>
      </c>
      <c r="E7" s="50" t="s">
        <v>10</v>
      </c>
      <c r="G7" s="48" t="s">
        <v>151</v>
      </c>
      <c r="H7" s="50" t="s">
        <v>152</v>
      </c>
      <c r="I7" s="50" t="s">
        <v>65</v>
      </c>
      <c r="J7" s="50" t="s">
        <v>121</v>
      </c>
      <c r="L7" s="48" t="s">
        <v>151</v>
      </c>
      <c r="M7" s="50" t="s">
        <v>152</v>
      </c>
      <c r="N7" s="50" t="s">
        <v>153</v>
      </c>
      <c r="O7" s="50" t="s">
        <v>154</v>
      </c>
      <c r="T7" t="s">
        <v>172</v>
      </c>
      <c r="U7">
        <v>0.77115449889604204</v>
      </c>
    </row>
    <row r="8" spans="1:31" x14ac:dyDescent="0.3">
      <c r="B8" s="51">
        <v>1</v>
      </c>
      <c r="C8" s="52">
        <f>'Data Sheet'!$B$16</f>
        <v>42460</v>
      </c>
      <c r="D8" s="53">
        <f t="array" ref="D8:D17">TRANSPOSE('Data Sheet'!B17:K17)</f>
        <v>14271.49</v>
      </c>
      <c r="G8" s="51">
        <v>1</v>
      </c>
      <c r="H8" s="52">
        <f>'Data Sheet'!$B$16</f>
        <v>42460</v>
      </c>
      <c r="I8" s="53">
        <f t="array" ref="I8:I17">TRANSPOSE('Historical FS '!C18:L18)</f>
        <v>2725.0400000000013</v>
      </c>
      <c r="L8" s="51">
        <v>1</v>
      </c>
      <c r="M8" s="52">
        <f>'Data Sheet'!$B$16</f>
        <v>42460</v>
      </c>
      <c r="N8" s="53">
        <f t="array" ref="N8:N17">TRANSPOSE('Historical FS '!C38:L38)</f>
        <v>16.221538782318614</v>
      </c>
      <c r="O8" s="199"/>
      <c r="T8" t="s">
        <v>173</v>
      </c>
      <c r="U8">
        <v>0.74254881125804728</v>
      </c>
    </row>
    <row r="9" spans="1:31" x14ac:dyDescent="0.3">
      <c r="B9" s="51">
        <f>B8+1</f>
        <v>2</v>
      </c>
      <c r="C9" s="52">
        <f>C8+365</f>
        <v>42825</v>
      </c>
      <c r="D9" s="53">
        <v>15061.99</v>
      </c>
      <c r="E9" s="54">
        <f>D9/D8-1</f>
        <v>5.5390151974320734E-2</v>
      </c>
      <c r="G9" s="51">
        <f>G8+1</f>
        <v>2</v>
      </c>
      <c r="H9" s="52">
        <f>H8+365</f>
        <v>42825</v>
      </c>
      <c r="I9" s="53">
        <v>2993.76</v>
      </c>
      <c r="J9" s="54">
        <f>I9/I8-1</f>
        <v>9.861139652995865E-2</v>
      </c>
      <c r="L9" s="51">
        <f>L8+1</f>
        <v>2</v>
      </c>
      <c r="M9" s="52">
        <f>M8+365</f>
        <v>42825</v>
      </c>
      <c r="N9" s="53">
        <v>17.497393661384489</v>
      </c>
      <c r="O9" s="54">
        <f>N9/N8-1</f>
        <v>7.8651902028958443E-2</v>
      </c>
      <c r="T9" t="s">
        <v>174</v>
      </c>
      <c r="U9">
        <v>762.91459261912917</v>
      </c>
    </row>
    <row r="10" spans="1:31" ht="15" thickBot="1" x14ac:dyDescent="0.35">
      <c r="B10" s="51">
        <f t="shared" ref="B10:B22" si="0">B9+1</f>
        <v>3</v>
      </c>
      <c r="C10" s="52">
        <f t="shared" ref="C10:C22" si="1">C9+365</f>
        <v>43190</v>
      </c>
      <c r="D10" s="53">
        <v>16824.55</v>
      </c>
      <c r="E10" s="54">
        <f t="shared" ref="E10:E16" si="2">D10/D9-1</f>
        <v>0.11702039371955486</v>
      </c>
      <c r="G10" s="51">
        <f t="shared" ref="G10:G22" si="3">G9+1</f>
        <v>3</v>
      </c>
      <c r="H10" s="52">
        <f t="shared" ref="H10:H22" si="4">H9+365</f>
        <v>43190</v>
      </c>
      <c r="I10" s="53">
        <v>3204.0100000000011</v>
      </c>
      <c r="J10" s="54">
        <f t="shared" ref="J10:J16" si="5">I10/I9-1</f>
        <v>7.0229410507188561E-2</v>
      </c>
      <c r="L10" s="51">
        <f t="shared" ref="L10:L22" si="6">L9+1</f>
        <v>3</v>
      </c>
      <c r="M10" s="52">
        <f t="shared" ref="M10:M22" si="7">M9+365</f>
        <v>43190</v>
      </c>
      <c r="N10" s="53">
        <v>18.360195996663897</v>
      </c>
      <c r="O10" s="54">
        <f t="shared" ref="O10:O16" si="8">N10/N9-1</f>
        <v>4.9310334554771629E-2</v>
      </c>
      <c r="T10" s="181" t="s">
        <v>175</v>
      </c>
      <c r="U10" s="181">
        <v>10</v>
      </c>
    </row>
    <row r="11" spans="1:31" x14ac:dyDescent="0.3">
      <c r="B11" s="51">
        <f t="shared" si="0"/>
        <v>4</v>
      </c>
      <c r="C11" s="52">
        <f t="shared" si="1"/>
        <v>43555</v>
      </c>
      <c r="D11" s="53">
        <v>19240.13</v>
      </c>
      <c r="E11" s="54">
        <f t="shared" si="2"/>
        <v>0.14357471670861943</v>
      </c>
      <c r="G11" s="51">
        <f t="shared" si="3"/>
        <v>4</v>
      </c>
      <c r="H11" s="52">
        <f t="shared" si="4"/>
        <v>43555</v>
      </c>
      <c r="I11" s="53">
        <v>3764.9400000000014</v>
      </c>
      <c r="J11" s="54">
        <f t="shared" si="5"/>
        <v>0.17507123885381137</v>
      </c>
      <c r="L11" s="51">
        <f t="shared" si="6"/>
        <v>4</v>
      </c>
      <c r="M11" s="52">
        <f t="shared" si="7"/>
        <v>43555</v>
      </c>
      <c r="N11" s="53">
        <v>20.165450375312773</v>
      </c>
      <c r="O11" s="54">
        <f t="shared" si="8"/>
        <v>9.8324352255111824E-2</v>
      </c>
    </row>
    <row r="12" spans="1:31" ht="15" thickBot="1" x14ac:dyDescent="0.35">
      <c r="B12" s="51">
        <f t="shared" si="0"/>
        <v>5</v>
      </c>
      <c r="C12" s="52">
        <f t="shared" si="1"/>
        <v>43920</v>
      </c>
      <c r="D12" s="53">
        <v>20211.25</v>
      </c>
      <c r="E12" s="54">
        <f t="shared" si="2"/>
        <v>5.0473671435691925E-2</v>
      </c>
      <c r="G12" s="51">
        <f t="shared" si="3"/>
        <v>5</v>
      </c>
      <c r="H12" s="52">
        <f t="shared" si="4"/>
        <v>43920</v>
      </c>
      <c r="I12" s="53">
        <v>4167.3899999999976</v>
      </c>
      <c r="J12" s="54">
        <f t="shared" si="5"/>
        <v>0.10689413377105517</v>
      </c>
      <c r="L12" s="51">
        <f t="shared" si="6"/>
        <v>5</v>
      </c>
      <c r="M12" s="52">
        <f t="shared" si="7"/>
        <v>43920</v>
      </c>
      <c r="N12" s="53">
        <v>25.271997497914906</v>
      </c>
      <c r="O12" s="54">
        <f t="shared" si="8"/>
        <v>0.25323248564057566</v>
      </c>
      <c r="T12" t="s">
        <v>176</v>
      </c>
    </row>
    <row r="13" spans="1:31" x14ac:dyDescent="0.3">
      <c r="B13" s="51">
        <f t="shared" si="0"/>
        <v>6</v>
      </c>
      <c r="C13" s="52">
        <f t="shared" si="1"/>
        <v>44285</v>
      </c>
      <c r="D13" s="53">
        <v>21712.79</v>
      </c>
      <c r="E13" s="54">
        <f t="shared" si="2"/>
        <v>7.4292287711052118E-2</v>
      </c>
      <c r="G13" s="51">
        <f t="shared" si="3"/>
        <v>6</v>
      </c>
      <c r="H13" s="52">
        <f t="shared" si="4"/>
        <v>44285</v>
      </c>
      <c r="I13" s="53">
        <v>4855.6000000000031</v>
      </c>
      <c r="J13" s="54">
        <f t="shared" si="5"/>
        <v>0.16514173139543109</v>
      </c>
      <c r="L13" s="51">
        <f t="shared" si="6"/>
        <v>6</v>
      </c>
      <c r="M13" s="52">
        <f t="shared" si="7"/>
        <v>44285</v>
      </c>
      <c r="N13" s="53">
        <v>29.973936613844902</v>
      </c>
      <c r="O13" s="54">
        <f t="shared" si="8"/>
        <v>0.1860533231026924</v>
      </c>
      <c r="T13" s="182"/>
      <c r="U13" s="182" t="s">
        <v>177</v>
      </c>
      <c r="V13" s="182" t="s">
        <v>178</v>
      </c>
      <c r="W13" s="182" t="s">
        <v>179</v>
      </c>
      <c r="X13" s="182" t="s">
        <v>180</v>
      </c>
      <c r="Y13" s="182" t="s">
        <v>181</v>
      </c>
    </row>
    <row r="14" spans="1:31" x14ac:dyDescent="0.3">
      <c r="B14" s="51">
        <f t="shared" si="0"/>
        <v>7</v>
      </c>
      <c r="C14" s="52">
        <f t="shared" si="1"/>
        <v>44650</v>
      </c>
      <c r="D14" s="53">
        <v>29101.279999999999</v>
      </c>
      <c r="E14" s="54">
        <f t="shared" si="2"/>
        <v>0.34028284711453471</v>
      </c>
      <c r="G14" s="51">
        <f t="shared" si="3"/>
        <v>7</v>
      </c>
      <c r="H14" s="52">
        <f t="shared" si="4"/>
        <v>44650</v>
      </c>
      <c r="I14" s="53">
        <v>4803.6099999999988</v>
      </c>
      <c r="J14" s="54">
        <f t="shared" si="5"/>
        <v>-1.0707224647830249E-2</v>
      </c>
      <c r="L14" s="51">
        <f t="shared" si="6"/>
        <v>7</v>
      </c>
      <c r="M14" s="52">
        <f t="shared" si="7"/>
        <v>44650</v>
      </c>
      <c r="N14" s="53">
        <v>29.075583819849857</v>
      </c>
      <c r="O14" s="54">
        <f t="shared" si="8"/>
        <v>-2.9971131438908061E-2</v>
      </c>
      <c r="T14" t="s">
        <v>182</v>
      </c>
      <c r="U14">
        <v>1</v>
      </c>
      <c r="V14">
        <v>15690646.871510303</v>
      </c>
      <c r="W14">
        <v>15690646.871510303</v>
      </c>
      <c r="X14">
        <v>26.958082904875766</v>
      </c>
      <c r="Y14">
        <v>8.3035855911561449E-4</v>
      </c>
    </row>
    <row r="15" spans="1:31" x14ac:dyDescent="0.3">
      <c r="B15" s="51">
        <f t="shared" si="0"/>
        <v>8</v>
      </c>
      <c r="C15" s="52">
        <f t="shared" si="1"/>
        <v>45015</v>
      </c>
      <c r="D15" s="53">
        <v>34488.589999999997</v>
      </c>
      <c r="E15" s="54">
        <f t="shared" si="2"/>
        <v>0.18512278497715551</v>
      </c>
      <c r="G15" s="51">
        <f t="shared" si="3"/>
        <v>8</v>
      </c>
      <c r="H15" s="52">
        <f t="shared" si="4"/>
        <v>45015</v>
      </c>
      <c r="I15" s="53">
        <v>6259.8399999999956</v>
      </c>
      <c r="J15" s="54">
        <f t="shared" si="5"/>
        <v>0.3031532534906034</v>
      </c>
      <c r="L15" s="51">
        <f t="shared" si="6"/>
        <v>8</v>
      </c>
      <c r="M15" s="52">
        <f t="shared" si="7"/>
        <v>45015</v>
      </c>
      <c r="N15" s="53">
        <v>39.23967889908252</v>
      </c>
      <c r="O15" s="54">
        <f t="shared" si="8"/>
        <v>0.34957492658474676</v>
      </c>
      <c r="T15" t="s">
        <v>183</v>
      </c>
      <c r="U15">
        <v>8</v>
      </c>
      <c r="V15">
        <v>4656309.4050496947</v>
      </c>
      <c r="W15">
        <v>582038.67563121184</v>
      </c>
    </row>
    <row r="16" spans="1:31" ht="15" thickBot="1" x14ac:dyDescent="0.35">
      <c r="B16" s="51">
        <f t="shared" si="0"/>
        <v>9</v>
      </c>
      <c r="C16" s="52">
        <f t="shared" si="1"/>
        <v>45380</v>
      </c>
      <c r="D16" s="53">
        <v>35494.730000000003</v>
      </c>
      <c r="E16" s="54">
        <f t="shared" si="2"/>
        <v>2.9173126532572313E-2</v>
      </c>
      <c r="G16" s="51">
        <f t="shared" si="3"/>
        <v>9</v>
      </c>
      <c r="H16" s="52">
        <f t="shared" si="4"/>
        <v>45380</v>
      </c>
      <c r="I16" s="53">
        <v>7584.9800000000014</v>
      </c>
      <c r="J16" s="54">
        <f t="shared" si="5"/>
        <v>0.21168911665473988</v>
      </c>
      <c r="L16" s="51">
        <f t="shared" si="6"/>
        <v>9</v>
      </c>
      <c r="M16" s="52">
        <f t="shared" si="7"/>
        <v>45380</v>
      </c>
      <c r="N16" s="53">
        <v>49.382089241034208</v>
      </c>
      <c r="O16" s="54">
        <f t="shared" si="8"/>
        <v>0.25847332665581102</v>
      </c>
      <c r="T16" s="181" t="s">
        <v>13</v>
      </c>
      <c r="U16" s="181">
        <v>9</v>
      </c>
      <c r="V16" s="181">
        <v>20346956.276559997</v>
      </c>
      <c r="W16" s="181"/>
      <c r="X16" s="181"/>
      <c r="Y16" s="181"/>
    </row>
    <row r="17" spans="2:28" ht="15" thickBot="1" x14ac:dyDescent="0.35">
      <c r="B17" s="51">
        <f t="shared" si="0"/>
        <v>10</v>
      </c>
      <c r="C17" s="52">
        <f t="shared" si="1"/>
        <v>45745</v>
      </c>
      <c r="D17" s="53">
        <v>33905.620000000003</v>
      </c>
      <c r="E17" s="54">
        <f t="shared" ref="E17:E22" si="9">D17/D16-1</f>
        <v>-4.4770308155605121E-2</v>
      </c>
      <c r="G17" s="51">
        <f t="shared" si="3"/>
        <v>10</v>
      </c>
      <c r="H17" s="52">
        <f t="shared" si="4"/>
        <v>45745</v>
      </c>
      <c r="I17" s="53">
        <v>6006.2100000000019</v>
      </c>
      <c r="J17" s="54">
        <f t="shared" ref="J17:J22" si="10">I17/I16-1</f>
        <v>-0.20814425351154509</v>
      </c>
      <c r="L17" s="51">
        <f t="shared" si="6"/>
        <v>10</v>
      </c>
      <c r="M17" s="52">
        <f t="shared" si="7"/>
        <v>45745</v>
      </c>
      <c r="N17" s="53">
        <v>35.023874061718125</v>
      </c>
      <c r="O17" s="54">
        <f t="shared" ref="O17:O22" si="11">N17/N16-1</f>
        <v>-0.29075754792863395</v>
      </c>
    </row>
    <row r="18" spans="2:28" x14ac:dyDescent="0.3">
      <c r="B18" s="55">
        <f t="shared" si="0"/>
        <v>11</v>
      </c>
      <c r="C18" s="56">
        <f t="shared" si="1"/>
        <v>46110</v>
      </c>
      <c r="D18" s="57">
        <f>FORECAST(B18,$D$8:$D$17,$B$8:$B$17)</f>
        <v>38669.293333333335</v>
      </c>
      <c r="E18" s="58">
        <f t="shared" si="9"/>
        <v>0.14049804526014653</v>
      </c>
      <c r="G18" s="55">
        <f t="shared" si="3"/>
        <v>11</v>
      </c>
      <c r="H18" s="56">
        <f>H17+365</f>
        <v>46110</v>
      </c>
      <c r="I18" s="57">
        <f>FORECAST(G18,$I$8:$I$17,$G$8:$G$17)</f>
        <v>7328.2859999999991</v>
      </c>
      <c r="J18" s="58">
        <f t="shared" si="10"/>
        <v>0.22011817768609432</v>
      </c>
      <c r="L18" s="55">
        <f t="shared" si="6"/>
        <v>11</v>
      </c>
      <c r="M18" s="56">
        <f t="shared" si="7"/>
        <v>46110</v>
      </c>
      <c r="N18" s="57">
        <f>FORECAST(L18,$N$8:$N$17,$L$8:$L$17)</f>
        <v>45.629295246038367</v>
      </c>
      <c r="O18" s="58">
        <f t="shared" si="11"/>
        <v>0.30280548535640728</v>
      </c>
      <c r="T18" s="182"/>
      <c r="U18" s="182" t="s">
        <v>184</v>
      </c>
      <c r="V18" s="182" t="s">
        <v>174</v>
      </c>
      <c r="W18" s="182" t="s">
        <v>185</v>
      </c>
      <c r="X18" s="182" t="s">
        <v>186</v>
      </c>
      <c r="Y18" s="182" t="s">
        <v>187</v>
      </c>
      <c r="Z18" s="182" t="s">
        <v>188</v>
      </c>
      <c r="AA18" s="182" t="s">
        <v>189</v>
      </c>
      <c r="AB18" s="182" t="s">
        <v>190</v>
      </c>
    </row>
    <row r="19" spans="2:28" x14ac:dyDescent="0.3">
      <c r="B19" s="55">
        <f t="shared" si="0"/>
        <v>12</v>
      </c>
      <c r="C19" s="56">
        <f t="shared" si="1"/>
        <v>46475</v>
      </c>
      <c r="D19" s="57">
        <f>FORECAST(B19,$D$8:$D$17,$B$8:$B$17)</f>
        <v>41330.757212121214</v>
      </c>
      <c r="E19" s="58">
        <f t="shared" si="9"/>
        <v>6.8826286941573667E-2</v>
      </c>
      <c r="G19" s="55">
        <f t="shared" si="3"/>
        <v>12</v>
      </c>
      <c r="H19" s="56">
        <f t="shared" si="4"/>
        <v>46475</v>
      </c>
      <c r="I19" s="57">
        <f>FORECAST(G19,$I$8:$I$17,$G$8:$G$17)</f>
        <v>7817.6947272727266</v>
      </c>
      <c r="J19" s="58">
        <f t="shared" si="10"/>
        <v>6.6783518993763114E-2</v>
      </c>
      <c r="L19" s="55">
        <f t="shared" si="6"/>
        <v>12</v>
      </c>
      <c r="M19" s="56">
        <f t="shared" si="7"/>
        <v>46475</v>
      </c>
      <c r="N19" s="57">
        <f>FORECAST(L19,$N$8:$N$17,$L$8:$L$17)</f>
        <v>48.830771855333992</v>
      </c>
      <c r="O19" s="58">
        <f t="shared" si="11"/>
        <v>7.0162745052994913E-2</v>
      </c>
      <c r="T19" t="s">
        <v>191</v>
      </c>
      <c r="U19">
        <v>1877.1473333333333</v>
      </c>
      <c r="V19">
        <v>521.16988461335609</v>
      </c>
      <c r="W19">
        <v>3.6017954773536958</v>
      </c>
      <c r="X19">
        <v>6.9641169490234278E-3</v>
      </c>
      <c r="Y19">
        <v>675.32742427105563</v>
      </c>
      <c r="Z19">
        <v>3078.9672423956108</v>
      </c>
      <c r="AA19">
        <v>675.32742427105563</v>
      </c>
      <c r="AB19">
        <v>3078.9672423956108</v>
      </c>
    </row>
    <row r="20" spans="2:28" ht="15" thickBot="1" x14ac:dyDescent="0.35">
      <c r="B20" s="55">
        <f t="shared" si="0"/>
        <v>13</v>
      </c>
      <c r="C20" s="56">
        <f t="shared" si="1"/>
        <v>46840</v>
      </c>
      <c r="D20" s="57">
        <f>FORECAST(B20,$D$8:$D$17,$B$8:$B$17)</f>
        <v>43992.221090909094</v>
      </c>
      <c r="E20" s="58">
        <f t="shared" si="9"/>
        <v>6.4394268537798283E-2</v>
      </c>
      <c r="G20" s="55">
        <f t="shared" si="3"/>
        <v>13</v>
      </c>
      <c r="H20" s="56">
        <f t="shared" si="4"/>
        <v>46840</v>
      </c>
      <c r="I20" s="57">
        <f>FORECAST(G20,$I$8:$I$17,$G$8:$G$17)</f>
        <v>8307.1034545454531</v>
      </c>
      <c r="J20" s="58">
        <f t="shared" si="10"/>
        <v>6.2602690990910759E-2</v>
      </c>
      <c r="L20" s="55">
        <f t="shared" si="6"/>
        <v>13</v>
      </c>
      <c r="M20" s="56">
        <f t="shared" si="7"/>
        <v>46840</v>
      </c>
      <c r="N20" s="57">
        <f>FORECAST(L20,$N$8:$N$17,$L$8:$L$17)</f>
        <v>52.032248464629618</v>
      </c>
      <c r="O20" s="58">
        <f t="shared" si="11"/>
        <v>6.5562686962645556E-2</v>
      </c>
      <c r="T20" s="181" t="s">
        <v>192</v>
      </c>
      <c r="U20" s="181">
        <v>436.107393939394</v>
      </c>
      <c r="V20" s="181">
        <v>83.994132235980004</v>
      </c>
      <c r="W20" s="181">
        <v>5.1921173816542101</v>
      </c>
      <c r="X20" s="181">
        <v>8.3035855911561449E-4</v>
      </c>
      <c r="Y20" s="181">
        <v>242.41657767033848</v>
      </c>
      <c r="Z20" s="181">
        <v>629.79821020844952</v>
      </c>
      <c r="AA20" s="181">
        <v>242.41657767033848</v>
      </c>
      <c r="AB20" s="181">
        <v>629.79821020844952</v>
      </c>
    </row>
    <row r="21" spans="2:28" x14ac:dyDescent="0.3">
      <c r="B21" s="55">
        <f t="shared" si="0"/>
        <v>14</v>
      </c>
      <c r="C21" s="56">
        <f t="shared" si="1"/>
        <v>47205</v>
      </c>
      <c r="D21" s="57">
        <f>FORECAST(B21,$D$8:$D$17,$B$8:$B$17)</f>
        <v>46653.684969696973</v>
      </c>
      <c r="E21" s="58">
        <f t="shared" si="9"/>
        <v>6.0498511163780799E-2</v>
      </c>
      <c r="G21" s="55">
        <f t="shared" si="3"/>
        <v>14</v>
      </c>
      <c r="H21" s="56">
        <f t="shared" si="4"/>
        <v>47205</v>
      </c>
      <c r="I21" s="57">
        <f>FORECAST(G21,$I$8:$I$17,$G$8:$G$17)</f>
        <v>8796.5121818181797</v>
      </c>
      <c r="J21" s="58">
        <f t="shared" si="10"/>
        <v>5.8914485650823689E-2</v>
      </c>
      <c r="L21" s="55">
        <f t="shared" si="6"/>
        <v>14</v>
      </c>
      <c r="M21" s="56">
        <f t="shared" si="7"/>
        <v>47205</v>
      </c>
      <c r="N21" s="57">
        <f>FORECAST(L21,$N$8:$N$17,$L$8:$L$17)</f>
        <v>55.233725073925243</v>
      </c>
      <c r="O21" s="58">
        <f t="shared" si="11"/>
        <v>6.1528700061307617E-2</v>
      </c>
    </row>
    <row r="22" spans="2:28" x14ac:dyDescent="0.3">
      <c r="B22" s="55">
        <f t="shared" si="0"/>
        <v>15</v>
      </c>
      <c r="C22" s="56">
        <f t="shared" si="1"/>
        <v>47570</v>
      </c>
      <c r="D22" s="57">
        <f>FORECAST(B22,$D$8:$D$17,$B$8:$B$17)</f>
        <v>49315.148848484852</v>
      </c>
      <c r="E22" s="58">
        <f t="shared" si="9"/>
        <v>5.7047238187435401E-2</v>
      </c>
      <c r="G22" s="55">
        <f t="shared" si="3"/>
        <v>15</v>
      </c>
      <c r="H22" s="56">
        <f t="shared" si="4"/>
        <v>47570</v>
      </c>
      <c r="I22" s="57">
        <f>FORECAST(G22,$I$8:$I$17,$G$8:$G$17)</f>
        <v>9285.920909090908</v>
      </c>
      <c r="J22" s="58">
        <f t="shared" si="10"/>
        <v>5.5636679306180437E-2</v>
      </c>
      <c r="L22" s="55">
        <f t="shared" si="6"/>
        <v>15</v>
      </c>
      <c r="M22" s="56">
        <f t="shared" si="7"/>
        <v>47570</v>
      </c>
      <c r="N22" s="57">
        <f>FORECAST(L22,$N$8:$N$17,$L$8:$L$17)</f>
        <v>58.435201683220868</v>
      </c>
      <c r="O22" s="58">
        <f t="shared" si="11"/>
        <v>5.7962351896612807E-2</v>
      </c>
    </row>
    <row r="25" spans="2:28" x14ac:dyDescent="0.3">
      <c r="B25" s="238" t="str">
        <f>'Data Sheet'!$B$1&amp;" - "&amp;'Data Sheet'!A34&amp;" Forecasting "</f>
        <v xml:space="preserve">ASIAN PAINTS LTD - EBIT Forecasting </v>
      </c>
      <c r="C25" s="238"/>
      <c r="D25" s="238"/>
      <c r="E25" s="238"/>
      <c r="G25" s="238" t="str">
        <f>'Data Sheet'!$B$1&amp;" - "&amp;'Historical FS '!B33&amp;" Forecasting "</f>
        <v xml:space="preserve">ASIAN PAINTS LTD - Net Profit Forecasting </v>
      </c>
      <c r="H25" s="238"/>
      <c r="I25" s="238"/>
      <c r="J25" s="238"/>
    </row>
    <row r="26" spans="2:28" x14ac:dyDescent="0.3">
      <c r="B26" s="48" t="s">
        <v>151</v>
      </c>
      <c r="C26" s="50" t="s">
        <v>152</v>
      </c>
      <c r="D26" s="50" t="s">
        <v>289</v>
      </c>
      <c r="E26" s="50" t="s">
        <v>122</v>
      </c>
      <c r="G26" s="48" t="s">
        <v>151</v>
      </c>
      <c r="H26" s="50" t="s">
        <v>152</v>
      </c>
      <c r="I26" s="50" t="s">
        <v>71</v>
      </c>
      <c r="J26" s="50" t="s">
        <v>154</v>
      </c>
    </row>
    <row r="27" spans="2:28" x14ac:dyDescent="0.3">
      <c r="B27" s="51">
        <v>1</v>
      </c>
      <c r="C27" s="52">
        <f>'Data Sheet'!$B$16</f>
        <v>42460</v>
      </c>
      <c r="D27" s="53" cm="1">
        <f t="array" ref="D27:D36">TRANSPOSE('Data Sheet'!B34:K34)</f>
        <v>2638.65</v>
      </c>
      <c r="G27" s="51">
        <v>1</v>
      </c>
      <c r="H27" s="52">
        <f>'Data Sheet'!$B$16</f>
        <v>42460</v>
      </c>
      <c r="I27" s="53">
        <f t="array" ref="I27:I36">TRANSPOSE('Historical FS '!C33:L33)</f>
        <v>1555.9700000000014</v>
      </c>
    </row>
    <row r="28" spans="2:28" x14ac:dyDescent="0.3">
      <c r="B28" s="51">
        <f>B27+1</f>
        <v>2</v>
      </c>
      <c r="C28" s="52">
        <f>C27+365</f>
        <v>42825</v>
      </c>
      <c r="D28" s="53">
        <v>2920.05</v>
      </c>
      <c r="E28" s="54">
        <f>D28/D27-1</f>
        <v>0.10664544369279749</v>
      </c>
      <c r="G28" s="51">
        <f>G27+1</f>
        <v>2</v>
      </c>
      <c r="H28" s="52">
        <f>H27+365</f>
        <v>42825</v>
      </c>
      <c r="I28" s="53">
        <v>1678.3500000000004</v>
      </c>
      <c r="J28" s="54">
        <f>I28/I27-1</f>
        <v>7.8651902028958665E-2</v>
      </c>
    </row>
    <row r="29" spans="2:28" x14ac:dyDescent="0.3">
      <c r="B29" s="51">
        <f t="shared" ref="B29:B41" si="12">B28+1</f>
        <v>3</v>
      </c>
      <c r="C29" s="52">
        <f t="shared" ref="C29:C41" si="13">C28+365</f>
        <v>43190</v>
      </c>
      <c r="D29" s="53">
        <v>3121.3599999999997</v>
      </c>
      <c r="E29" s="54">
        <f t="shared" ref="E29:E41" si="14">D29/D28-1</f>
        <v>6.8940600332185964E-2</v>
      </c>
      <c r="G29" s="51">
        <f t="shared" ref="G29:G41" si="15">G28+1</f>
        <v>3</v>
      </c>
      <c r="H29" s="52">
        <f t="shared" ref="H29:H41" si="16">H28+365</f>
        <v>43190</v>
      </c>
      <c r="I29" s="53">
        <v>1761.110000000001</v>
      </c>
      <c r="J29" s="54">
        <f t="shared" ref="J29:J35" si="17">I29/I28-1</f>
        <v>4.9310334554771407E-2</v>
      </c>
    </row>
    <row r="30" spans="2:28" x14ac:dyDescent="0.3">
      <c r="B30" s="51">
        <f t="shared" si="12"/>
        <v>4</v>
      </c>
      <c r="C30" s="52">
        <f t="shared" si="13"/>
        <v>43555</v>
      </c>
      <c r="D30" s="53">
        <v>3364.45</v>
      </c>
      <c r="E30" s="54">
        <f t="shared" si="14"/>
        <v>7.7879514057974886E-2</v>
      </c>
      <c r="G30" s="51">
        <f t="shared" si="15"/>
        <v>4</v>
      </c>
      <c r="H30" s="52">
        <f t="shared" si="16"/>
        <v>43555</v>
      </c>
      <c r="I30" s="53">
        <v>1934.2700000000013</v>
      </c>
      <c r="J30" s="54">
        <f t="shared" si="17"/>
        <v>9.8324352255112046E-2</v>
      </c>
    </row>
    <row r="31" spans="2:28" x14ac:dyDescent="0.3">
      <c r="B31" s="51">
        <f t="shared" si="12"/>
        <v>5</v>
      </c>
      <c r="C31" s="52">
        <f t="shared" si="13"/>
        <v>43920</v>
      </c>
      <c r="D31" s="53">
        <v>3667.9699999999993</v>
      </c>
      <c r="E31" s="54">
        <f t="shared" si="14"/>
        <v>9.021385367593493E-2</v>
      </c>
      <c r="G31" s="51">
        <f t="shared" si="15"/>
        <v>5</v>
      </c>
      <c r="H31" s="52">
        <f t="shared" si="16"/>
        <v>43920</v>
      </c>
      <c r="I31" s="53">
        <v>2424.0899999999979</v>
      </c>
      <c r="J31" s="54">
        <f t="shared" si="17"/>
        <v>0.25323248564057566</v>
      </c>
    </row>
    <row r="32" spans="2:28" x14ac:dyDescent="0.3">
      <c r="B32" s="51">
        <f t="shared" si="12"/>
        <v>6</v>
      </c>
      <c r="C32" s="52">
        <f t="shared" si="13"/>
        <v>44285</v>
      </c>
      <c r="D32" s="53">
        <v>4328.5199999999986</v>
      </c>
      <c r="E32" s="54">
        <f t="shared" si="14"/>
        <v>0.18008598761712857</v>
      </c>
      <c r="G32" s="51">
        <f t="shared" si="15"/>
        <v>6</v>
      </c>
      <c r="H32" s="52">
        <f t="shared" si="16"/>
        <v>44285</v>
      </c>
      <c r="I32" s="53">
        <v>2875.1000000000031</v>
      </c>
      <c r="J32" s="54">
        <f t="shared" si="17"/>
        <v>0.1860533231026924</v>
      </c>
    </row>
    <row r="33" spans="2:10" x14ac:dyDescent="0.3">
      <c r="B33" s="51">
        <f t="shared" si="12"/>
        <v>7</v>
      </c>
      <c r="C33" s="52">
        <f t="shared" si="13"/>
        <v>44650</v>
      </c>
      <c r="D33" s="53">
        <v>4228.8900000000003</v>
      </c>
      <c r="E33" s="54">
        <f t="shared" si="14"/>
        <v>-2.3017105153724238E-2</v>
      </c>
      <c r="G33" s="51">
        <f t="shared" si="15"/>
        <v>7</v>
      </c>
      <c r="H33" s="52">
        <f t="shared" si="16"/>
        <v>44650</v>
      </c>
      <c r="I33" s="53">
        <v>2788.9299999999985</v>
      </c>
      <c r="J33" s="54">
        <f t="shared" si="17"/>
        <v>-2.9971131438908061E-2</v>
      </c>
    </row>
    <row r="34" spans="2:10" x14ac:dyDescent="0.3">
      <c r="B34" s="51">
        <f t="shared" si="12"/>
        <v>8</v>
      </c>
      <c r="C34" s="52">
        <f t="shared" si="13"/>
        <v>45015</v>
      </c>
      <c r="D34" s="53">
        <v>5744.4</v>
      </c>
      <c r="E34" s="54">
        <f t="shared" si="14"/>
        <v>0.35837063626625398</v>
      </c>
      <c r="G34" s="51">
        <f t="shared" si="15"/>
        <v>8</v>
      </c>
      <c r="H34" s="52">
        <f t="shared" si="16"/>
        <v>45015</v>
      </c>
      <c r="I34" s="53">
        <v>3763.8699999999953</v>
      </c>
      <c r="J34" s="54">
        <f t="shared" si="17"/>
        <v>0.34957492658474654</v>
      </c>
    </row>
    <row r="35" spans="2:10" x14ac:dyDescent="0.3">
      <c r="B35" s="51">
        <f t="shared" si="12"/>
        <v>9</v>
      </c>
      <c r="C35" s="52">
        <f t="shared" si="13"/>
        <v>45380</v>
      </c>
      <c r="D35" s="53">
        <v>7455.48</v>
      </c>
      <c r="E35" s="54">
        <f t="shared" si="14"/>
        <v>0.29786922916231462</v>
      </c>
      <c r="G35" s="51">
        <f t="shared" si="15"/>
        <v>9</v>
      </c>
      <c r="H35" s="52">
        <f t="shared" si="16"/>
        <v>45380</v>
      </c>
      <c r="I35" s="53">
        <v>4736.7300000000014</v>
      </c>
      <c r="J35" s="54">
        <f t="shared" si="17"/>
        <v>0.25847332665581102</v>
      </c>
    </row>
    <row r="36" spans="2:10" x14ac:dyDescent="0.3">
      <c r="B36" s="51">
        <f t="shared" si="12"/>
        <v>10</v>
      </c>
      <c r="C36" s="52">
        <f t="shared" si="13"/>
        <v>45745</v>
      </c>
      <c r="D36" s="53">
        <v>5287.6100000000006</v>
      </c>
      <c r="E36" s="54">
        <f t="shared" si="14"/>
        <v>-0.29077537596506187</v>
      </c>
      <c r="G36" s="51">
        <f t="shared" si="15"/>
        <v>10</v>
      </c>
      <c r="H36" s="52">
        <f t="shared" si="16"/>
        <v>45745</v>
      </c>
      <c r="I36" s="53">
        <v>3359.4900000000025</v>
      </c>
      <c r="J36" s="54">
        <f t="shared" ref="J36:J41" si="18">I36/I35-1</f>
        <v>-0.29075754792863395</v>
      </c>
    </row>
    <row r="37" spans="2:10" x14ac:dyDescent="0.3">
      <c r="B37" s="55">
        <f t="shared" si="12"/>
        <v>11</v>
      </c>
      <c r="C37" s="56">
        <f t="shared" si="13"/>
        <v>46110</v>
      </c>
      <c r="D37" s="57">
        <f>FORECAST(B37,$D$27:$D$36,$B$27:$B$36)</f>
        <v>6674.3286666666663</v>
      </c>
      <c r="E37" s="58">
        <f t="shared" si="14"/>
        <v>0.26225812165924967</v>
      </c>
      <c r="G37" s="55">
        <f t="shared" si="15"/>
        <v>11</v>
      </c>
      <c r="H37" s="56">
        <f t="shared" si="16"/>
        <v>46110</v>
      </c>
      <c r="I37" s="57">
        <f>FORECAST(G37,$I$27:$I$36,$G$27:$G$36)</f>
        <v>4376.7619999999997</v>
      </c>
      <c r="J37" s="58">
        <f t="shared" si="18"/>
        <v>0.30280548535640728</v>
      </c>
    </row>
    <row r="38" spans="2:10" x14ac:dyDescent="0.3">
      <c r="B38" s="55">
        <f t="shared" si="12"/>
        <v>12</v>
      </c>
      <c r="C38" s="56">
        <f t="shared" si="13"/>
        <v>46475</v>
      </c>
      <c r="D38" s="57">
        <f>FORECAST(B38,$D$27:$D$36,$B$27:$B$36)</f>
        <v>7110.4360606060618</v>
      </c>
      <c r="E38" s="58">
        <f t="shared" si="14"/>
        <v>6.5341012665053322E-2</v>
      </c>
      <c r="G38" s="55">
        <f t="shared" si="15"/>
        <v>12</v>
      </c>
      <c r="H38" s="56">
        <f t="shared" si="16"/>
        <v>46475</v>
      </c>
      <c r="I38" s="57">
        <f>FORECAST(G38,$I$27:$I$36,$G$27:$G$36)</f>
        <v>4683.8476363636355</v>
      </c>
      <c r="J38" s="58">
        <f t="shared" si="18"/>
        <v>7.0162745052994913E-2</v>
      </c>
    </row>
    <row r="39" spans="2:10" x14ac:dyDescent="0.3">
      <c r="B39" s="55">
        <f t="shared" si="12"/>
        <v>13</v>
      </c>
      <c r="C39" s="56">
        <f t="shared" si="13"/>
        <v>46840</v>
      </c>
      <c r="D39" s="57">
        <f>FORECAST(B39,$D$27:$D$36,$B$27:$B$36)</f>
        <v>7546.5434545454555</v>
      </c>
      <c r="E39" s="58">
        <f t="shared" si="14"/>
        <v>6.1333424591996311E-2</v>
      </c>
      <c r="G39" s="55">
        <f t="shared" si="15"/>
        <v>13</v>
      </c>
      <c r="H39" s="56">
        <f t="shared" si="16"/>
        <v>46840</v>
      </c>
      <c r="I39" s="57">
        <f>FORECAST(G39,$I$27:$I$36,$G$27:$G$36)</f>
        <v>4990.9332727272722</v>
      </c>
      <c r="J39" s="58">
        <f t="shared" si="18"/>
        <v>6.5562686962645556E-2</v>
      </c>
    </row>
    <row r="40" spans="2:10" x14ac:dyDescent="0.3">
      <c r="B40" s="55">
        <f t="shared" si="12"/>
        <v>14</v>
      </c>
      <c r="C40" s="56">
        <f t="shared" si="13"/>
        <v>47205</v>
      </c>
      <c r="D40" s="57">
        <f>FORECAST(B40,$D$27:$D$36,$B$27:$B$36)</f>
        <v>7982.6508484848491</v>
      </c>
      <c r="E40" s="58">
        <f t="shared" si="14"/>
        <v>5.7789025739554578E-2</v>
      </c>
      <c r="G40" s="55">
        <f t="shared" si="15"/>
        <v>14</v>
      </c>
      <c r="H40" s="56">
        <f t="shared" si="16"/>
        <v>47205</v>
      </c>
      <c r="I40" s="57">
        <f>FORECAST(G40,$I$27:$I$36,$G$27:$G$36)</f>
        <v>5298.018909090908</v>
      </c>
      <c r="J40" s="58">
        <f t="shared" si="18"/>
        <v>6.1528700061307395E-2</v>
      </c>
    </row>
    <row r="41" spans="2:10" x14ac:dyDescent="0.3">
      <c r="B41" s="55">
        <f t="shared" si="12"/>
        <v>15</v>
      </c>
      <c r="C41" s="56">
        <f t="shared" si="13"/>
        <v>47570</v>
      </c>
      <c r="D41" s="57">
        <f>FORECAST(B41,$D$27:$D$36,$B$27:$B$36)</f>
        <v>8418.7582424242428</v>
      </c>
      <c r="E41" s="58">
        <f t="shared" si="14"/>
        <v>5.4631901384258663E-2</v>
      </c>
      <c r="G41" s="55">
        <f t="shared" si="15"/>
        <v>15</v>
      </c>
      <c r="H41" s="56">
        <f t="shared" si="16"/>
        <v>47570</v>
      </c>
      <c r="I41" s="57">
        <f>FORECAST(G41,$I$27:$I$36,$G$27:$G$36)</f>
        <v>5605.1045454545447</v>
      </c>
      <c r="J41" s="58">
        <f t="shared" si="18"/>
        <v>5.7962351896613029E-2</v>
      </c>
    </row>
  </sheetData>
  <mergeCells count="5">
    <mergeCell ref="B6:E6"/>
    <mergeCell ref="G6:J6"/>
    <mergeCell ref="L6:O6"/>
    <mergeCell ref="G25:J25"/>
    <mergeCell ref="B25:E25"/>
  </mergeCells>
  <pageMargins left="0.7" right="5.79" top="0.63" bottom="0.52" header="0.39" footer="0.73"/>
  <pageSetup paperSize="5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6B273-92E0-4251-ADD1-257389F89091}">
  <dimension ref="B2:W112"/>
  <sheetViews>
    <sheetView showGridLines="0" zoomScaleNormal="100" workbookViewId="0">
      <selection activeCell="J32" sqref="J32"/>
    </sheetView>
  </sheetViews>
  <sheetFormatPr defaultRowHeight="14.4" x14ac:dyDescent="0.3"/>
  <cols>
    <col min="1" max="1" width="1.88671875" customWidth="1"/>
    <col min="2" max="2" width="14.44140625" bestFit="1" customWidth="1"/>
    <col min="3" max="3" width="16.6640625" bestFit="1" customWidth="1"/>
    <col min="4" max="4" width="9.88671875" customWidth="1"/>
    <col min="5" max="5" width="12.33203125" customWidth="1"/>
    <col min="6" max="6" width="16.6640625" bestFit="1" customWidth="1"/>
    <col min="7" max="7" width="10.77734375" customWidth="1"/>
    <col min="9" max="9" width="20.109375" bestFit="1" customWidth="1"/>
    <col min="10" max="10" width="8.88671875" customWidth="1"/>
    <col min="12" max="12" width="17.44140625" bestFit="1" customWidth="1"/>
    <col min="13" max="13" width="12.77734375" bestFit="1" customWidth="1"/>
    <col min="14" max="14" width="13.5546875" bestFit="1" customWidth="1"/>
    <col min="15" max="15" width="9" bestFit="1" customWidth="1"/>
    <col min="16" max="17" width="14.44140625" bestFit="1" customWidth="1"/>
    <col min="18" max="19" width="9" bestFit="1" customWidth="1"/>
  </cols>
  <sheetData>
    <row r="2" spans="2:13" x14ac:dyDescent="0.3">
      <c r="B2" s="69"/>
      <c r="C2" s="69"/>
      <c r="D2" s="69"/>
      <c r="E2" s="70"/>
      <c r="F2" s="70"/>
      <c r="G2" s="70"/>
      <c r="H2" s="70"/>
      <c r="I2" s="70"/>
      <c r="J2" s="70"/>
    </row>
    <row r="3" spans="2:13" x14ac:dyDescent="0.3">
      <c r="B3" s="69"/>
      <c r="C3" s="69"/>
      <c r="D3" s="69"/>
      <c r="E3" s="70"/>
      <c r="F3" s="70"/>
      <c r="G3" s="70"/>
      <c r="H3" s="70"/>
      <c r="I3" s="70"/>
      <c r="J3" s="70"/>
    </row>
    <row r="4" spans="2:13" x14ac:dyDescent="0.3">
      <c r="B4" s="69"/>
      <c r="C4" s="69"/>
      <c r="D4" s="69"/>
      <c r="E4" s="70"/>
      <c r="F4" s="70"/>
      <c r="G4" s="70"/>
      <c r="H4" s="70"/>
      <c r="I4" s="70"/>
      <c r="J4" s="70"/>
    </row>
    <row r="5" spans="2:13" x14ac:dyDescent="0.3">
      <c r="B5" s="2" t="s">
        <v>158</v>
      </c>
      <c r="C5" t="s">
        <v>346</v>
      </c>
      <c r="D5" s="71"/>
      <c r="E5" s="71"/>
      <c r="F5" s="71"/>
      <c r="G5" s="71"/>
      <c r="H5" s="71"/>
      <c r="I5" s="71"/>
      <c r="J5" s="71"/>
    </row>
    <row r="6" spans="2:13" x14ac:dyDescent="0.3">
      <c r="B6" s="71"/>
      <c r="C6" s="71"/>
      <c r="D6" s="71"/>
      <c r="E6" s="71"/>
      <c r="F6" s="71"/>
      <c r="G6" s="71"/>
      <c r="H6" s="71"/>
      <c r="I6" s="71"/>
      <c r="J6" s="71"/>
    </row>
    <row r="7" spans="2:13" x14ac:dyDescent="0.3">
      <c r="B7" s="239" t="s">
        <v>337</v>
      </c>
      <c r="C7" s="239"/>
      <c r="D7" s="239"/>
      <c r="E7" s="71"/>
      <c r="F7" s="240" t="s">
        <v>159</v>
      </c>
      <c r="G7" s="240"/>
      <c r="H7" s="71"/>
      <c r="I7" s="240" t="s">
        <v>160</v>
      </c>
      <c r="J7" s="240"/>
    </row>
    <row r="8" spans="2:13" x14ac:dyDescent="0.3">
      <c r="B8" s="71"/>
      <c r="C8" s="71"/>
      <c r="D8" s="71"/>
      <c r="E8" s="71"/>
      <c r="F8" s="71"/>
      <c r="G8" s="71"/>
      <c r="H8" s="71"/>
      <c r="I8" s="71"/>
      <c r="J8" s="71"/>
    </row>
    <row r="9" spans="2:13" x14ac:dyDescent="0.3">
      <c r="B9" s="64" t="s">
        <v>161</v>
      </c>
      <c r="C9" s="72" t="s">
        <v>162</v>
      </c>
      <c r="D9" s="72" t="s">
        <v>163</v>
      </c>
      <c r="E9" s="73"/>
      <c r="F9" s="72" t="s">
        <v>162</v>
      </c>
      <c r="G9" s="72" t="s">
        <v>163</v>
      </c>
      <c r="H9" s="71"/>
      <c r="I9" s="71" t="s">
        <v>164</v>
      </c>
      <c r="J9" s="74">
        <f>J17</f>
        <v>1.2350586729057969</v>
      </c>
      <c r="L9" t="s">
        <v>169</v>
      </c>
    </row>
    <row r="10" spans="2:13" ht="15" thickBot="1" x14ac:dyDescent="0.35">
      <c r="B10" s="179">
        <v>44287</v>
      </c>
      <c r="C10" s="80">
        <v>2427.77</v>
      </c>
      <c r="D10" s="71"/>
      <c r="E10" s="178"/>
      <c r="F10" s="80">
        <v>14631.1</v>
      </c>
      <c r="G10" s="71"/>
      <c r="H10" s="71"/>
      <c r="I10" s="71" t="s">
        <v>165</v>
      </c>
      <c r="J10" s="77">
        <v>0.75</v>
      </c>
    </row>
    <row r="11" spans="2:13" ht="14.4" customHeight="1" x14ac:dyDescent="0.3">
      <c r="B11" s="179">
        <v>44317</v>
      </c>
      <c r="C11" s="80">
        <v>2849.98</v>
      </c>
      <c r="D11" s="78">
        <f>C11/C10-1</f>
        <v>0.17390856629746643</v>
      </c>
      <c r="E11" s="180" t="s">
        <v>338</v>
      </c>
      <c r="F11" s="80">
        <v>15582.8</v>
      </c>
      <c r="G11" s="78">
        <f>F11/F10-1</f>
        <v>6.5046373820150105E-2</v>
      </c>
      <c r="H11" s="71"/>
      <c r="I11" s="71"/>
      <c r="J11" s="71"/>
      <c r="L11" s="183" t="s">
        <v>170</v>
      </c>
      <c r="M11" s="183"/>
    </row>
    <row r="12" spans="2:13" x14ac:dyDescent="0.3">
      <c r="B12" s="179">
        <v>44348</v>
      </c>
      <c r="C12" s="80">
        <v>2864.53</v>
      </c>
      <c r="D12" s="78">
        <f t="shared" ref="D12:D69" si="0">C12/C11-1</f>
        <v>5.1052989845543628E-3</v>
      </c>
      <c r="E12" s="178"/>
      <c r="F12" s="80">
        <v>15721.5</v>
      </c>
      <c r="G12" s="78">
        <f t="shared" ref="G12:G69" si="1">F12/F11-1</f>
        <v>8.9008393870164682E-3</v>
      </c>
      <c r="H12" s="71"/>
      <c r="I12" s="71" t="s">
        <v>166</v>
      </c>
      <c r="J12" s="74">
        <v>1</v>
      </c>
      <c r="L12" t="s">
        <v>171</v>
      </c>
      <c r="M12">
        <v>0.61735541413438966</v>
      </c>
    </row>
    <row r="13" spans="2:13" x14ac:dyDescent="0.3">
      <c r="B13" s="179">
        <v>44378</v>
      </c>
      <c r="C13" s="80">
        <v>2845.76</v>
      </c>
      <c r="D13" s="78">
        <f t="shared" si="0"/>
        <v>-6.5525583603592841E-3</v>
      </c>
      <c r="E13" s="178"/>
      <c r="F13" s="80">
        <v>15763.05</v>
      </c>
      <c r="G13" s="78">
        <f t="shared" si="1"/>
        <v>2.6428775880162902E-3</v>
      </c>
      <c r="H13" s="71"/>
      <c r="I13" s="71" t="s">
        <v>167</v>
      </c>
      <c r="J13" s="77">
        <v>0.25</v>
      </c>
      <c r="L13" t="s">
        <v>172</v>
      </c>
      <c r="M13">
        <v>0.38112770736104373</v>
      </c>
    </row>
    <row r="14" spans="2:13" x14ac:dyDescent="0.3">
      <c r="B14" s="179">
        <v>44409</v>
      </c>
      <c r="C14" s="80">
        <v>3079.41</v>
      </c>
      <c r="D14" s="78">
        <f t="shared" si="0"/>
        <v>8.2104604745305121E-2</v>
      </c>
      <c r="E14" s="178"/>
      <c r="F14" s="80">
        <v>17132.2</v>
      </c>
      <c r="G14" s="78">
        <f t="shared" si="1"/>
        <v>8.6858190515160638E-2</v>
      </c>
      <c r="H14" s="71"/>
      <c r="I14" s="71"/>
      <c r="J14" s="71"/>
      <c r="L14" t="s">
        <v>173</v>
      </c>
      <c r="M14">
        <v>0.37027029871825501</v>
      </c>
    </row>
    <row r="15" spans="2:13" x14ac:dyDescent="0.3">
      <c r="B15" s="179">
        <v>44440</v>
      </c>
      <c r="C15" s="80">
        <v>3121.06</v>
      </c>
      <c r="D15" s="78">
        <f t="shared" si="0"/>
        <v>1.3525318161595967E-2</v>
      </c>
      <c r="E15" s="178"/>
      <c r="F15" s="80">
        <v>17618.150000000001</v>
      </c>
      <c r="G15" s="78">
        <f t="shared" si="1"/>
        <v>2.8364716732235173E-2</v>
      </c>
      <c r="H15" s="71"/>
      <c r="I15" s="119" t="s">
        <v>168</v>
      </c>
      <c r="J15" s="95">
        <f>(J9*J10)*(J12*J13)</f>
        <v>0.23157350116983691</v>
      </c>
      <c r="L15" t="s">
        <v>174</v>
      </c>
      <c r="M15">
        <v>5.9663662371302807E-2</v>
      </c>
    </row>
    <row r="16" spans="2:13" ht="15" thickBot="1" x14ac:dyDescent="0.35">
      <c r="B16" s="179">
        <v>44470</v>
      </c>
      <c r="C16" s="80">
        <v>2982.02</v>
      </c>
      <c r="D16" s="78">
        <f t="shared" si="0"/>
        <v>-4.4548967338019718E-2</v>
      </c>
      <c r="E16" s="178"/>
      <c r="F16" s="80">
        <v>17671.650000000001</v>
      </c>
      <c r="G16" s="78">
        <f t="shared" si="1"/>
        <v>3.0366411910445201E-3</v>
      </c>
      <c r="H16" s="71"/>
      <c r="I16" s="71"/>
      <c r="J16" s="71"/>
      <c r="L16" s="181" t="s">
        <v>175</v>
      </c>
      <c r="M16" s="181">
        <v>59</v>
      </c>
    </row>
    <row r="17" spans="2:23" ht="16.2" x14ac:dyDescent="0.3">
      <c r="B17" s="179">
        <v>44501</v>
      </c>
      <c r="C17" s="80">
        <v>3027.48</v>
      </c>
      <c r="D17" s="78">
        <f t="shared" si="0"/>
        <v>1.5244699901409087E-2</v>
      </c>
      <c r="E17" s="178"/>
      <c r="F17" s="80">
        <v>16983.2</v>
      </c>
      <c r="G17" s="78">
        <f t="shared" si="1"/>
        <v>-3.8957878862471818E-2</v>
      </c>
      <c r="H17" s="71"/>
      <c r="I17" s="157" t="s">
        <v>356</v>
      </c>
      <c r="J17" s="188">
        <f>M26</f>
        <v>1.2350586729057969</v>
      </c>
    </row>
    <row r="18" spans="2:23" ht="15" thickBot="1" x14ac:dyDescent="0.35">
      <c r="B18" s="179">
        <v>44531</v>
      </c>
      <c r="C18" s="80">
        <v>3257.93</v>
      </c>
      <c r="D18" s="78">
        <f t="shared" si="0"/>
        <v>7.6119412845006451E-2</v>
      </c>
      <c r="E18" s="178"/>
      <c r="F18" s="80">
        <v>17354.05</v>
      </c>
      <c r="G18" s="78">
        <f t="shared" si="1"/>
        <v>2.1836285270149247E-2</v>
      </c>
      <c r="H18" s="71"/>
      <c r="L18" t="s">
        <v>176</v>
      </c>
    </row>
    <row r="19" spans="2:23" ht="16.2" x14ac:dyDescent="0.3">
      <c r="B19" s="179">
        <v>44562</v>
      </c>
      <c r="C19" s="80">
        <v>3035.76</v>
      </c>
      <c r="D19" s="78">
        <f t="shared" si="0"/>
        <v>-6.8193607597462069E-2</v>
      </c>
      <c r="E19" s="178"/>
      <c r="F19" s="80">
        <v>17339.849999999999</v>
      </c>
      <c r="G19" s="78">
        <f t="shared" si="1"/>
        <v>-8.1825279977876253E-4</v>
      </c>
      <c r="H19" s="71"/>
      <c r="L19" s="182"/>
      <c r="M19" s="182" t="s">
        <v>177</v>
      </c>
      <c r="N19" s="182" t="s">
        <v>178</v>
      </c>
      <c r="O19" s="182" t="s">
        <v>179</v>
      </c>
      <c r="P19" s="182" t="s">
        <v>180</v>
      </c>
      <c r="Q19" s="182" t="s">
        <v>181</v>
      </c>
      <c r="V19" t="s">
        <v>356</v>
      </c>
      <c r="W19" s="74">
        <f>SLOPE(D11:D112,G11:G112)</f>
        <v>1.2350586729057964</v>
      </c>
    </row>
    <row r="20" spans="2:23" ht="16.2" x14ac:dyDescent="0.3">
      <c r="B20" s="179">
        <v>44593</v>
      </c>
      <c r="C20" s="80">
        <v>3057.33</v>
      </c>
      <c r="D20" s="78">
        <f t="shared" si="0"/>
        <v>7.1053047671751912E-3</v>
      </c>
      <c r="E20" s="178"/>
      <c r="F20" s="80">
        <v>16793.900000000001</v>
      </c>
      <c r="G20" s="78">
        <f t="shared" si="1"/>
        <v>-3.1485278131010208E-2</v>
      </c>
      <c r="H20" s="71"/>
      <c r="I20" s="71"/>
      <c r="J20" s="71"/>
      <c r="L20" t="s">
        <v>182</v>
      </c>
      <c r="M20">
        <v>1</v>
      </c>
      <c r="N20">
        <v>0.12495802587219879</v>
      </c>
      <c r="O20">
        <v>0.12495802587219879</v>
      </c>
      <c r="P20">
        <v>35.103008452590743</v>
      </c>
      <c r="Q20">
        <v>1.9096094214818245E-7</v>
      </c>
      <c r="V20" t="s">
        <v>357</v>
      </c>
      <c r="W20" s="74">
        <f>_xlfn.COVARIANCE.S(D11:D112,G11:G112)/_xlfn.VAR.S(G11:G112)</f>
        <v>1.2350586729057966</v>
      </c>
    </row>
    <row r="21" spans="2:23" x14ac:dyDescent="0.3">
      <c r="B21" s="179">
        <v>44621</v>
      </c>
      <c r="C21" s="80">
        <v>2966.13</v>
      </c>
      <c r="D21" s="78">
        <f t="shared" si="0"/>
        <v>-2.9829949661959843E-2</v>
      </c>
      <c r="E21" s="178"/>
      <c r="F21" s="80">
        <v>17464.75</v>
      </c>
      <c r="G21" s="78">
        <f t="shared" si="1"/>
        <v>3.9946051840251462E-2</v>
      </c>
      <c r="H21" s="71"/>
      <c r="L21" t="s">
        <v>183</v>
      </c>
      <c r="M21">
        <v>57</v>
      </c>
      <c r="N21">
        <v>0.20290589863073843</v>
      </c>
      <c r="O21">
        <v>3.5597526075568145E-3</v>
      </c>
    </row>
    <row r="22" spans="2:23" ht="15" thickBot="1" x14ac:dyDescent="0.35">
      <c r="B22" s="179">
        <v>44652</v>
      </c>
      <c r="C22" s="80">
        <v>3117.57</v>
      </c>
      <c r="D22" s="78">
        <f t="shared" si="0"/>
        <v>5.1056427061524579E-2</v>
      </c>
      <c r="E22" s="178"/>
      <c r="F22" s="80">
        <v>17102.55</v>
      </c>
      <c r="G22" s="78">
        <f t="shared" si="1"/>
        <v>-2.0738916961307807E-2</v>
      </c>
      <c r="H22" s="71"/>
      <c r="I22" s="71"/>
      <c r="J22" s="71"/>
      <c r="L22" s="181" t="s">
        <v>13</v>
      </c>
      <c r="M22" s="181">
        <v>58</v>
      </c>
      <c r="N22" s="181">
        <v>0.32786392450293722</v>
      </c>
      <c r="O22" s="181"/>
      <c r="P22" s="181"/>
      <c r="Q22" s="181"/>
    </row>
    <row r="23" spans="2:23" ht="15" thickBot="1" x14ac:dyDescent="0.35">
      <c r="B23" s="179">
        <v>44682</v>
      </c>
      <c r="C23" s="80">
        <v>2753.97</v>
      </c>
      <c r="D23" s="78">
        <f t="shared" si="0"/>
        <v>-0.1166292978184934</v>
      </c>
      <c r="E23" s="178"/>
      <c r="F23" s="80">
        <v>16584.55</v>
      </c>
      <c r="G23" s="78">
        <f t="shared" si="1"/>
        <v>-3.0287881046978327E-2</v>
      </c>
      <c r="H23" s="71"/>
      <c r="I23" s="71"/>
      <c r="J23" s="71"/>
    </row>
    <row r="24" spans="2:23" x14ac:dyDescent="0.3">
      <c r="B24" s="179">
        <v>44713</v>
      </c>
      <c r="C24" s="80">
        <v>2595.6</v>
      </c>
      <c r="D24" s="78">
        <f t="shared" si="0"/>
        <v>-5.7506073050904605E-2</v>
      </c>
      <c r="E24" s="178"/>
      <c r="F24" s="80">
        <v>15780.25</v>
      </c>
      <c r="G24" s="78">
        <f t="shared" si="1"/>
        <v>-4.8496944445281853E-2</v>
      </c>
      <c r="H24" s="71"/>
      <c r="I24" s="71"/>
      <c r="J24" s="71"/>
      <c r="L24" s="182"/>
      <c r="M24" s="182" t="s">
        <v>184</v>
      </c>
      <c r="N24" s="182" t="s">
        <v>174</v>
      </c>
      <c r="O24" s="182" t="s">
        <v>185</v>
      </c>
      <c r="P24" s="182" t="s">
        <v>186</v>
      </c>
      <c r="Q24" s="182" t="s">
        <v>187</v>
      </c>
      <c r="R24" s="182" t="s">
        <v>188</v>
      </c>
      <c r="S24" s="182" t="s">
        <v>189</v>
      </c>
      <c r="T24" s="182" t="s">
        <v>190</v>
      </c>
    </row>
    <row r="25" spans="2:23" x14ac:dyDescent="0.3">
      <c r="B25" s="179">
        <v>44743</v>
      </c>
      <c r="C25" s="80">
        <v>3229.05</v>
      </c>
      <c r="D25" s="78">
        <f t="shared" si="0"/>
        <v>0.24404761904761907</v>
      </c>
      <c r="E25" s="178"/>
      <c r="F25" s="80">
        <v>17158.25</v>
      </c>
      <c r="G25" s="78">
        <f t="shared" si="1"/>
        <v>8.7324345305048956E-2</v>
      </c>
      <c r="H25" s="71"/>
      <c r="I25" s="71"/>
      <c r="J25" s="71"/>
      <c r="L25" t="s">
        <v>191</v>
      </c>
      <c r="M25">
        <v>-9.4275643450617442E-3</v>
      </c>
      <c r="N25">
        <v>7.9657150707337643E-3</v>
      </c>
      <c r="O25">
        <v>-1.1835176454777865</v>
      </c>
      <c r="P25">
        <v>0.24151655291331062</v>
      </c>
      <c r="Q25">
        <v>-2.5378633632759925E-2</v>
      </c>
      <c r="R25">
        <v>6.5235049426364353E-3</v>
      </c>
      <c r="S25">
        <v>-2.5378633632759925E-2</v>
      </c>
      <c r="T25">
        <v>6.5235049426364353E-3</v>
      </c>
    </row>
    <row r="26" spans="2:23" ht="15" thickBot="1" x14ac:dyDescent="0.35">
      <c r="B26" s="179">
        <v>44774</v>
      </c>
      <c r="C26" s="80">
        <v>3285.09</v>
      </c>
      <c r="D26" s="78">
        <f t="shared" si="0"/>
        <v>1.735494959817907E-2</v>
      </c>
      <c r="E26" s="178"/>
      <c r="F26" s="80">
        <v>17759.3</v>
      </c>
      <c r="G26" s="78">
        <f t="shared" si="1"/>
        <v>3.5029796162195925E-2</v>
      </c>
      <c r="H26" s="71"/>
      <c r="I26" s="71"/>
      <c r="J26" s="71"/>
      <c r="L26" s="181" t="s">
        <v>192</v>
      </c>
      <c r="M26" s="181">
        <v>1.2350586729057969</v>
      </c>
      <c r="N26" s="181">
        <v>0.2084564898130393</v>
      </c>
      <c r="O26" s="181">
        <v>5.9247791901969462</v>
      </c>
      <c r="P26" s="181">
        <v>1.9096094214818035E-7</v>
      </c>
      <c r="Q26" s="181">
        <v>0.81763175229013807</v>
      </c>
      <c r="R26" s="181">
        <v>1.6524855935214555</v>
      </c>
      <c r="S26" s="181">
        <v>0.81763175229013807</v>
      </c>
      <c r="T26" s="181">
        <v>1.6524855935214555</v>
      </c>
    </row>
    <row r="27" spans="2:23" x14ac:dyDescent="0.3">
      <c r="B27" s="179">
        <v>44805</v>
      </c>
      <c r="C27" s="80">
        <v>3237.48</v>
      </c>
      <c r="D27" s="78">
        <f t="shared" si="0"/>
        <v>-1.449275362318847E-2</v>
      </c>
      <c r="E27" s="178"/>
      <c r="F27" s="80">
        <v>17094.349999999999</v>
      </c>
      <c r="G27" s="78">
        <f t="shared" si="1"/>
        <v>-3.7442354146841383E-2</v>
      </c>
      <c r="H27" s="71"/>
      <c r="I27" s="71"/>
      <c r="J27" s="71"/>
    </row>
    <row r="28" spans="2:23" x14ac:dyDescent="0.3">
      <c r="B28" s="179">
        <v>44835</v>
      </c>
      <c r="C28" s="80">
        <v>3010.1</v>
      </c>
      <c r="D28" s="78">
        <f t="shared" si="0"/>
        <v>-7.0233638508963803E-2</v>
      </c>
      <c r="E28" s="178"/>
      <c r="F28" s="80">
        <v>18012.2</v>
      </c>
      <c r="G28" s="78">
        <f t="shared" si="1"/>
        <v>5.3693179325332796E-2</v>
      </c>
      <c r="H28" s="71"/>
      <c r="I28" s="71"/>
      <c r="J28" s="71"/>
    </row>
    <row r="29" spans="2:23" x14ac:dyDescent="0.3">
      <c r="B29" s="179">
        <v>44866</v>
      </c>
      <c r="C29" s="80">
        <v>3079.87</v>
      </c>
      <c r="D29" s="78">
        <f t="shared" si="0"/>
        <v>2.3178631939138272E-2</v>
      </c>
      <c r="E29" s="178"/>
      <c r="F29" s="80">
        <v>18758.349999999999</v>
      </c>
      <c r="G29" s="78">
        <f t="shared" si="1"/>
        <v>4.1424701035964295E-2</v>
      </c>
      <c r="H29" s="71"/>
      <c r="I29" s="71"/>
      <c r="J29" s="71"/>
    </row>
    <row r="30" spans="2:23" x14ac:dyDescent="0.3">
      <c r="B30" s="179">
        <v>44896</v>
      </c>
      <c r="C30" s="80">
        <v>2995.24</v>
      </c>
      <c r="D30" s="78">
        <f t="shared" si="0"/>
        <v>-2.7478432531243269E-2</v>
      </c>
      <c r="E30" s="178"/>
      <c r="F30" s="80">
        <v>18105.3</v>
      </c>
      <c r="G30" s="78">
        <f t="shared" si="1"/>
        <v>-3.4813829574562805E-2</v>
      </c>
      <c r="H30" s="71"/>
      <c r="I30" s="71"/>
      <c r="J30" s="71"/>
    </row>
    <row r="31" spans="2:23" x14ac:dyDescent="0.3">
      <c r="B31" s="179">
        <v>44927</v>
      </c>
      <c r="C31" s="80">
        <v>2644.06</v>
      </c>
      <c r="D31" s="78">
        <f t="shared" si="0"/>
        <v>-0.11724603036818415</v>
      </c>
      <c r="E31" s="178"/>
      <c r="F31" s="80">
        <v>17662.150000000001</v>
      </c>
      <c r="G31" s="78">
        <f t="shared" si="1"/>
        <v>-2.4476258333195111E-2</v>
      </c>
      <c r="H31" s="71"/>
      <c r="I31" s="71"/>
      <c r="J31" s="71"/>
    </row>
    <row r="32" spans="2:23" x14ac:dyDescent="0.3">
      <c r="B32" s="179">
        <v>44958</v>
      </c>
      <c r="C32" s="80">
        <v>2743.92</v>
      </c>
      <c r="D32" s="78">
        <f t="shared" si="0"/>
        <v>3.7767675468786788E-2</v>
      </c>
      <c r="E32" s="178"/>
      <c r="F32" s="80">
        <v>17303.95</v>
      </c>
      <c r="G32" s="78">
        <f t="shared" si="1"/>
        <v>-2.0280656658447582E-2</v>
      </c>
      <c r="H32" s="71"/>
      <c r="I32" s="71"/>
      <c r="J32" s="71"/>
    </row>
    <row r="33" spans="2:10" x14ac:dyDescent="0.3">
      <c r="B33" s="179">
        <v>44986</v>
      </c>
      <c r="C33" s="80">
        <v>2678.78</v>
      </c>
      <c r="D33" s="78">
        <f t="shared" si="0"/>
        <v>-2.3739759176652386E-2</v>
      </c>
      <c r="E33" s="178"/>
      <c r="F33" s="80">
        <v>17359.75</v>
      </c>
      <c r="G33" s="78">
        <f t="shared" si="1"/>
        <v>3.2246972512055549E-3</v>
      </c>
      <c r="H33" s="71"/>
      <c r="I33" s="71"/>
      <c r="J33" s="71"/>
    </row>
    <row r="34" spans="2:10" x14ac:dyDescent="0.3">
      <c r="B34" s="179">
        <v>45017</v>
      </c>
      <c r="C34" s="80">
        <v>2815.26</v>
      </c>
      <c r="D34" s="78">
        <f t="shared" si="0"/>
        <v>5.0948566138316664E-2</v>
      </c>
      <c r="E34" s="178"/>
      <c r="F34" s="80">
        <v>18065</v>
      </c>
      <c r="G34" s="78">
        <f t="shared" si="1"/>
        <v>4.0625585045867663E-2</v>
      </c>
      <c r="H34" s="71"/>
      <c r="I34" s="71"/>
      <c r="J34" s="71"/>
    </row>
    <row r="35" spans="2:10" x14ac:dyDescent="0.3">
      <c r="B35" s="179">
        <v>45047</v>
      </c>
      <c r="C35" s="80">
        <v>3097.14</v>
      </c>
      <c r="D35" s="78">
        <f t="shared" si="0"/>
        <v>0.10012574327060375</v>
      </c>
      <c r="E35" s="178"/>
      <c r="F35" s="80">
        <v>18534.400000000001</v>
      </c>
      <c r="G35" s="78">
        <f t="shared" si="1"/>
        <v>2.5983946858566309E-2</v>
      </c>
      <c r="H35" s="71"/>
      <c r="I35" s="71"/>
      <c r="J35" s="71"/>
    </row>
    <row r="36" spans="2:10" x14ac:dyDescent="0.3">
      <c r="B36" s="179">
        <v>45078</v>
      </c>
      <c r="C36" s="80">
        <v>3261.17</v>
      </c>
      <c r="D36" s="78">
        <f t="shared" si="0"/>
        <v>5.2961764724875238E-2</v>
      </c>
      <c r="E36" s="178"/>
      <c r="F36" s="80">
        <v>19189.05</v>
      </c>
      <c r="G36" s="78">
        <f t="shared" si="1"/>
        <v>3.5320808874309328E-2</v>
      </c>
      <c r="H36" s="71"/>
      <c r="I36" s="71"/>
      <c r="J36" s="71"/>
    </row>
    <row r="37" spans="2:10" x14ac:dyDescent="0.3">
      <c r="B37" s="179">
        <v>45108</v>
      </c>
      <c r="C37" s="80">
        <v>3297.82</v>
      </c>
      <c r="D37" s="78">
        <f t="shared" si="0"/>
        <v>1.1238297911485784E-2</v>
      </c>
      <c r="E37" s="178"/>
      <c r="F37" s="80">
        <v>19753.8</v>
      </c>
      <c r="G37" s="78">
        <f t="shared" si="1"/>
        <v>2.9430847280089489E-2</v>
      </c>
      <c r="H37" s="71"/>
      <c r="I37" s="71"/>
      <c r="J37" s="71"/>
    </row>
    <row r="38" spans="2:10" x14ac:dyDescent="0.3">
      <c r="B38" s="179">
        <v>45139</v>
      </c>
      <c r="C38" s="80">
        <v>3179.43</v>
      </c>
      <c r="D38" s="78">
        <f t="shared" si="0"/>
        <v>-3.5899472985184255E-2</v>
      </c>
      <c r="E38" s="178"/>
      <c r="F38" s="80">
        <v>19253.8</v>
      </c>
      <c r="G38" s="78">
        <f t="shared" si="1"/>
        <v>-2.5311585618969512E-2</v>
      </c>
      <c r="H38" s="71"/>
      <c r="I38" s="71"/>
      <c r="J38" s="71"/>
    </row>
    <row r="39" spans="2:10" x14ac:dyDescent="0.3">
      <c r="B39" s="179">
        <v>45170</v>
      </c>
      <c r="C39" s="80">
        <v>3086.62</v>
      </c>
      <c r="D39" s="78">
        <f t="shared" si="0"/>
        <v>-2.9190766898469223E-2</v>
      </c>
      <c r="E39" s="178"/>
      <c r="F39" s="80">
        <v>19638.3</v>
      </c>
      <c r="G39" s="78">
        <f t="shared" si="1"/>
        <v>1.9970083827608009E-2</v>
      </c>
      <c r="H39" s="71"/>
      <c r="I39" s="71"/>
      <c r="J39" s="71"/>
    </row>
    <row r="40" spans="2:10" x14ac:dyDescent="0.3">
      <c r="B40" s="179">
        <v>45200</v>
      </c>
      <c r="C40" s="80">
        <v>2925.16</v>
      </c>
      <c r="D40" s="78">
        <f t="shared" si="0"/>
        <v>-5.2309646150157763E-2</v>
      </c>
      <c r="E40" s="178"/>
      <c r="F40" s="80">
        <v>19079.599999999999</v>
      </c>
      <c r="G40" s="78">
        <f t="shared" si="1"/>
        <v>-2.844950937708457E-2</v>
      </c>
      <c r="H40" s="71"/>
    </row>
    <row r="41" spans="2:10" x14ac:dyDescent="0.3">
      <c r="B41" s="179">
        <v>45231</v>
      </c>
      <c r="C41" s="80">
        <v>3046.43</v>
      </c>
      <c r="D41" s="78">
        <f t="shared" si="0"/>
        <v>4.1457561295792367E-2</v>
      </c>
      <c r="E41" s="178"/>
      <c r="F41" s="80">
        <v>20133.150000000001</v>
      </c>
      <c r="G41" s="78">
        <f t="shared" si="1"/>
        <v>5.5218662865049728E-2</v>
      </c>
      <c r="H41" s="71"/>
    </row>
    <row r="42" spans="2:10" x14ac:dyDescent="0.3">
      <c r="B42" s="179">
        <v>45261</v>
      </c>
      <c r="C42" s="80">
        <v>3328.08</v>
      </c>
      <c r="D42" s="78">
        <f t="shared" si="0"/>
        <v>9.2452477161792723E-2</v>
      </c>
      <c r="E42" s="178"/>
      <c r="F42" s="80">
        <v>21731.4</v>
      </c>
      <c r="G42" s="78">
        <f t="shared" si="1"/>
        <v>7.9384001013254268E-2</v>
      </c>
      <c r="H42" s="71"/>
    </row>
    <row r="43" spans="2:10" x14ac:dyDescent="0.3">
      <c r="B43" s="179">
        <v>45292</v>
      </c>
      <c r="C43" s="80">
        <v>2893.24</v>
      </c>
      <c r="D43" s="78">
        <f t="shared" si="0"/>
        <v>-0.13065791687699824</v>
      </c>
      <c r="E43" s="178"/>
      <c r="F43" s="80">
        <v>21725.7</v>
      </c>
      <c r="G43" s="78">
        <f t="shared" si="1"/>
        <v>-2.6229327148741266E-4</v>
      </c>
      <c r="H43" s="71"/>
      <c r="I43" s="71"/>
      <c r="J43" s="71"/>
    </row>
    <row r="44" spans="2:10" x14ac:dyDescent="0.3">
      <c r="B44" s="179">
        <v>45323</v>
      </c>
      <c r="C44" s="80">
        <v>2760.26</v>
      </c>
      <c r="D44" s="78">
        <f t="shared" si="0"/>
        <v>-4.596231214831803E-2</v>
      </c>
      <c r="E44" s="178"/>
      <c r="F44" s="80">
        <v>21982.799999999999</v>
      </c>
      <c r="G44" s="78">
        <f t="shared" si="1"/>
        <v>1.1833910990209695E-2</v>
      </c>
      <c r="H44" s="71"/>
      <c r="I44" s="71"/>
      <c r="J44" s="71"/>
    </row>
    <row r="45" spans="2:10" x14ac:dyDescent="0.3">
      <c r="B45" s="179">
        <v>45352</v>
      </c>
      <c r="C45" s="80">
        <v>2784.57</v>
      </c>
      <c r="D45" s="78">
        <f t="shared" si="0"/>
        <v>8.8071413562489376E-3</v>
      </c>
      <c r="E45" s="178"/>
      <c r="F45" s="80">
        <v>22326.9</v>
      </c>
      <c r="G45" s="78">
        <f t="shared" si="1"/>
        <v>1.5653147005840973E-2</v>
      </c>
      <c r="H45" s="71"/>
      <c r="I45" s="71"/>
      <c r="J45" s="71"/>
    </row>
    <row r="46" spans="2:10" x14ac:dyDescent="0.3">
      <c r="B46" s="179">
        <v>45383</v>
      </c>
      <c r="C46" s="80">
        <v>2813.08</v>
      </c>
      <c r="D46" s="78">
        <f t="shared" si="0"/>
        <v>1.0238564661689153E-2</v>
      </c>
      <c r="E46" s="178"/>
      <c r="F46" s="80">
        <v>22604.85</v>
      </c>
      <c r="G46" s="78">
        <f t="shared" si="1"/>
        <v>1.2449108474530624E-2</v>
      </c>
      <c r="H46" s="71"/>
      <c r="I46" s="71"/>
      <c r="J46" s="71"/>
    </row>
    <row r="47" spans="2:10" x14ac:dyDescent="0.3">
      <c r="B47" s="179">
        <v>45413</v>
      </c>
      <c r="C47" s="80">
        <v>2818.27</v>
      </c>
      <c r="D47" s="78">
        <f t="shared" si="0"/>
        <v>1.8449528630539724E-3</v>
      </c>
      <c r="E47" s="178"/>
      <c r="F47" s="80">
        <v>22530.7</v>
      </c>
      <c r="G47" s="78">
        <f t="shared" si="1"/>
        <v>-3.2802694996869608E-3</v>
      </c>
      <c r="H47" s="71"/>
      <c r="I47" s="71"/>
      <c r="J47" s="71"/>
    </row>
    <row r="48" spans="2:10" x14ac:dyDescent="0.3">
      <c r="B48" s="179">
        <v>45444</v>
      </c>
      <c r="C48" s="80">
        <v>2853.33</v>
      </c>
      <c r="D48" s="78">
        <f t="shared" si="0"/>
        <v>1.2440255901670083E-2</v>
      </c>
      <c r="E48" s="178"/>
      <c r="F48" s="80">
        <v>24010.6</v>
      </c>
      <c r="G48" s="78">
        <f t="shared" si="1"/>
        <v>6.5683711558007341E-2</v>
      </c>
      <c r="H48" s="71"/>
      <c r="I48" s="71"/>
      <c r="J48" s="71"/>
    </row>
    <row r="49" spans="2:10" x14ac:dyDescent="0.3">
      <c r="B49" s="179">
        <v>45474</v>
      </c>
      <c r="C49" s="80">
        <v>3046.27</v>
      </c>
      <c r="D49" s="78">
        <f t="shared" si="0"/>
        <v>6.761923787294144E-2</v>
      </c>
      <c r="E49" s="178"/>
      <c r="F49" s="80">
        <v>24951.15</v>
      </c>
      <c r="G49" s="78">
        <f t="shared" si="1"/>
        <v>3.917228224200997E-2</v>
      </c>
      <c r="H49" s="71"/>
      <c r="I49" s="71"/>
      <c r="J49" s="71"/>
    </row>
    <row r="50" spans="2:10" x14ac:dyDescent="0.3">
      <c r="B50" s="179">
        <v>45505</v>
      </c>
      <c r="C50" s="80">
        <v>3088.09</v>
      </c>
      <c r="D50" s="78">
        <f t="shared" si="0"/>
        <v>1.3728264402039336E-2</v>
      </c>
      <c r="E50" s="178"/>
      <c r="F50" s="80">
        <v>25235.9</v>
      </c>
      <c r="G50" s="78">
        <f t="shared" si="1"/>
        <v>1.141229963348378E-2</v>
      </c>
      <c r="H50" s="71"/>
      <c r="I50" s="71"/>
      <c r="J50" s="71"/>
    </row>
    <row r="51" spans="2:10" x14ac:dyDescent="0.3">
      <c r="B51" s="179">
        <v>45536</v>
      </c>
      <c r="C51" s="80">
        <v>3287.89</v>
      </c>
      <c r="D51" s="78">
        <f t="shared" si="0"/>
        <v>6.4700186846885943E-2</v>
      </c>
      <c r="E51" s="178"/>
      <c r="F51" s="80">
        <v>25810.85</v>
      </c>
      <c r="G51" s="78">
        <f t="shared" si="1"/>
        <v>2.2783019428670892E-2</v>
      </c>
      <c r="H51" s="71"/>
      <c r="I51" s="71"/>
      <c r="J51" s="71"/>
    </row>
    <row r="52" spans="2:10" x14ac:dyDescent="0.3">
      <c r="B52" s="179">
        <v>45566</v>
      </c>
      <c r="C52" s="80">
        <v>2899.31</v>
      </c>
      <c r="D52" s="78">
        <f t="shared" si="0"/>
        <v>-0.11818521909187962</v>
      </c>
      <c r="E52" s="178"/>
      <c r="F52" s="80">
        <v>24205.35</v>
      </c>
      <c r="G52" s="78">
        <f t="shared" si="1"/>
        <v>-6.2202523357425266E-2</v>
      </c>
      <c r="H52" s="71"/>
      <c r="I52" s="71"/>
      <c r="J52" s="71"/>
    </row>
    <row r="53" spans="2:10" x14ac:dyDescent="0.3">
      <c r="B53" s="179">
        <v>45597</v>
      </c>
      <c r="C53" s="80">
        <v>2448.91</v>
      </c>
      <c r="D53" s="78">
        <f t="shared" si="0"/>
        <v>-0.1553473067729908</v>
      </c>
      <c r="E53" s="178"/>
      <c r="F53" s="80">
        <v>24131.1</v>
      </c>
      <c r="G53" s="78">
        <f t="shared" si="1"/>
        <v>-3.0675036717089377E-3</v>
      </c>
      <c r="H53" s="71"/>
      <c r="I53" s="71"/>
      <c r="J53" s="71"/>
    </row>
    <row r="54" spans="2:10" x14ac:dyDescent="0.3">
      <c r="B54" s="179">
        <v>45627</v>
      </c>
      <c r="C54" s="80">
        <v>2256.9699999999998</v>
      </c>
      <c r="D54" s="78">
        <f t="shared" si="0"/>
        <v>-7.8377727233748917E-2</v>
      </c>
      <c r="E54" s="178"/>
      <c r="F54" s="80">
        <v>23644.799999999999</v>
      </c>
      <c r="G54" s="78">
        <f t="shared" si="1"/>
        <v>-2.0152417419844082E-2</v>
      </c>
      <c r="H54" s="71"/>
      <c r="I54" s="71"/>
      <c r="J54" s="71"/>
    </row>
    <row r="55" spans="2:10" x14ac:dyDescent="0.3">
      <c r="B55" s="179">
        <v>45658</v>
      </c>
      <c r="C55" s="80">
        <v>2276.21</v>
      </c>
      <c r="D55" s="78">
        <f t="shared" si="0"/>
        <v>8.5247034741269267E-3</v>
      </c>
      <c r="E55" s="178"/>
      <c r="F55" s="80">
        <v>23508.400000000001</v>
      </c>
      <c r="G55" s="78">
        <f t="shared" si="1"/>
        <v>-5.7687102449586192E-3</v>
      </c>
      <c r="H55" s="71"/>
      <c r="I55" s="71"/>
      <c r="J55" s="71"/>
    </row>
    <row r="56" spans="2:10" x14ac:dyDescent="0.3">
      <c r="B56" s="179">
        <v>45689</v>
      </c>
      <c r="C56" s="80">
        <v>2156.46</v>
      </c>
      <c r="D56" s="78">
        <f t="shared" si="0"/>
        <v>-5.2609381383967202E-2</v>
      </c>
      <c r="E56" s="178"/>
      <c r="F56" s="80">
        <v>22124.7</v>
      </c>
      <c r="G56" s="78">
        <f t="shared" si="1"/>
        <v>-5.8859811811948104E-2</v>
      </c>
      <c r="H56" s="71"/>
      <c r="I56" s="71"/>
      <c r="J56" s="71"/>
    </row>
    <row r="57" spans="2:10" x14ac:dyDescent="0.3">
      <c r="B57" s="179">
        <v>45717</v>
      </c>
      <c r="C57" s="80">
        <v>2315.64</v>
      </c>
      <c r="D57" s="78">
        <f t="shared" si="0"/>
        <v>7.3815419715645092E-2</v>
      </c>
      <c r="E57" s="178"/>
      <c r="F57" s="80">
        <v>23519.35</v>
      </c>
      <c r="G57" s="78">
        <f t="shared" si="1"/>
        <v>6.3035882972424462E-2</v>
      </c>
      <c r="H57" s="71"/>
      <c r="I57" s="71"/>
      <c r="J57" s="71"/>
    </row>
    <row r="58" spans="2:10" x14ac:dyDescent="0.3">
      <c r="B58" s="179">
        <v>45748</v>
      </c>
      <c r="C58" s="80">
        <v>2399.7800000000002</v>
      </c>
      <c r="D58" s="78">
        <f t="shared" si="0"/>
        <v>3.6335527111295507E-2</v>
      </c>
      <c r="E58" s="178"/>
      <c r="F58" s="80">
        <v>24334.2</v>
      </c>
      <c r="G58" s="78">
        <f t="shared" si="1"/>
        <v>3.4645940470293679E-2</v>
      </c>
      <c r="H58" s="71"/>
      <c r="I58" s="71"/>
      <c r="J58" s="71"/>
    </row>
    <row r="59" spans="2:10" x14ac:dyDescent="0.3">
      <c r="B59" s="179">
        <v>45778</v>
      </c>
      <c r="C59" s="80">
        <v>2234.96</v>
      </c>
      <c r="D59" s="78">
        <f t="shared" si="0"/>
        <v>-6.8681295785447016E-2</v>
      </c>
      <c r="E59" s="178"/>
      <c r="F59" s="80">
        <v>24750.7</v>
      </c>
      <c r="G59" s="78">
        <f t="shared" si="1"/>
        <v>1.7115828751304685E-2</v>
      </c>
      <c r="H59" s="71"/>
      <c r="I59" s="71"/>
      <c r="J59" s="71"/>
    </row>
    <row r="60" spans="2:10" x14ac:dyDescent="0.3">
      <c r="B60" s="179">
        <v>45809</v>
      </c>
      <c r="C60" s="80">
        <v>2316.08</v>
      </c>
      <c r="D60" s="78">
        <f t="shared" si="0"/>
        <v>3.629595160539778E-2</v>
      </c>
      <c r="E60" s="178"/>
      <c r="F60" s="80">
        <v>25517.05</v>
      </c>
      <c r="G60" s="78">
        <f t="shared" si="1"/>
        <v>3.0962760649193788E-2</v>
      </c>
      <c r="H60" s="71"/>
      <c r="I60" s="71"/>
      <c r="J60" s="71"/>
    </row>
    <row r="61" spans="2:10" x14ac:dyDescent="0.3">
      <c r="B61" s="179">
        <v>45839</v>
      </c>
      <c r="C61" s="80">
        <v>2392.37</v>
      </c>
      <c r="D61" s="78">
        <f t="shared" si="0"/>
        <v>3.293927670892205E-2</v>
      </c>
      <c r="E61" s="178"/>
      <c r="F61" s="80">
        <v>24768.35</v>
      </c>
      <c r="G61" s="78">
        <f t="shared" si="1"/>
        <v>-2.9341166004691055E-2</v>
      </c>
      <c r="H61" s="71"/>
      <c r="I61" s="71"/>
      <c r="J61" s="71"/>
    </row>
    <row r="62" spans="2:10" x14ac:dyDescent="0.3">
      <c r="B62" s="179">
        <v>45870</v>
      </c>
      <c r="C62" s="80">
        <v>2514.6799999999998</v>
      </c>
      <c r="D62" s="78">
        <f t="shared" si="0"/>
        <v>5.112503500712684E-2</v>
      </c>
      <c r="E62" s="178"/>
      <c r="F62" s="80">
        <v>24426.85</v>
      </c>
      <c r="G62" s="78">
        <f t="shared" si="1"/>
        <v>-1.3787757359694952E-2</v>
      </c>
      <c r="H62" s="71"/>
      <c r="I62" s="71"/>
      <c r="J62" s="71"/>
    </row>
    <row r="63" spans="2:10" x14ac:dyDescent="0.3">
      <c r="B63" s="179">
        <v>45901</v>
      </c>
      <c r="C63" s="80">
        <v>2346.34</v>
      </c>
      <c r="D63" s="78">
        <f t="shared" si="0"/>
        <v>-6.6942911225285062E-2</v>
      </c>
      <c r="E63" s="178"/>
      <c r="F63" s="80">
        <v>24611.1</v>
      </c>
      <c r="G63" s="78">
        <f t="shared" si="1"/>
        <v>7.5429291947182175E-3</v>
      </c>
      <c r="H63" s="71"/>
      <c r="I63" s="71"/>
      <c r="J63" s="71"/>
    </row>
    <row r="64" spans="2:10" x14ac:dyDescent="0.3">
      <c r="B64" s="179">
        <v>45931</v>
      </c>
      <c r="C64" s="80">
        <v>2506.89</v>
      </c>
      <c r="D64" s="78">
        <f t="shared" si="0"/>
        <v>6.8425718352838727E-2</v>
      </c>
      <c r="E64" s="178"/>
      <c r="F64" s="80">
        <v>25722.1</v>
      </c>
      <c r="G64" s="78">
        <f t="shared" si="1"/>
        <v>4.5142232569856722E-2</v>
      </c>
      <c r="H64" s="71"/>
      <c r="I64" s="71"/>
      <c r="J64" s="71"/>
    </row>
    <row r="65" spans="2:10" x14ac:dyDescent="0.3">
      <c r="B65" s="179">
        <v>45962</v>
      </c>
      <c r="C65" s="80">
        <v>2869.92</v>
      </c>
      <c r="D65" s="78">
        <f t="shared" si="0"/>
        <v>0.14481289565956224</v>
      </c>
      <c r="E65" s="178"/>
      <c r="F65" s="80">
        <v>26202.95</v>
      </c>
      <c r="G65" s="78">
        <f t="shared" si="1"/>
        <v>1.8694041310779452E-2</v>
      </c>
      <c r="H65" s="71"/>
      <c r="I65" s="71"/>
      <c r="J65" s="71"/>
    </row>
    <row r="66" spans="2:10" x14ac:dyDescent="0.3">
      <c r="B66" s="179">
        <v>45992</v>
      </c>
      <c r="C66" s="80">
        <v>2769.5</v>
      </c>
      <c r="D66" s="78">
        <f t="shared" si="0"/>
        <v>-3.4990522383899214E-2</v>
      </c>
      <c r="E66" s="178"/>
      <c r="F66" s="80">
        <v>26129.599999999999</v>
      </c>
      <c r="G66" s="78">
        <f t="shared" si="1"/>
        <v>-2.7993031318993555E-3</v>
      </c>
      <c r="H66" s="71"/>
      <c r="I66" s="71"/>
      <c r="J66" s="71"/>
    </row>
    <row r="67" spans="2:10" x14ac:dyDescent="0.3">
      <c r="B67" s="179">
        <v>46023</v>
      </c>
      <c r="C67" s="80">
        <v>2428.3000000000002</v>
      </c>
      <c r="D67" s="78">
        <f t="shared" si="0"/>
        <v>-0.12319913341758437</v>
      </c>
      <c r="E67" s="178"/>
      <c r="F67" s="80">
        <v>25320.65</v>
      </c>
      <c r="G67" s="78">
        <f t="shared" si="1"/>
        <v>-3.0959142122343852E-2</v>
      </c>
      <c r="H67" s="71"/>
      <c r="I67" s="71"/>
      <c r="J67" s="71"/>
    </row>
    <row r="68" spans="2:10" x14ac:dyDescent="0.3">
      <c r="B68" s="179">
        <v>46054</v>
      </c>
      <c r="C68" s="80">
        <v>2376.1999999999998</v>
      </c>
      <c r="D68" s="78">
        <f t="shared" si="0"/>
        <v>-2.1455339126137729E-2</v>
      </c>
      <c r="E68" s="178"/>
      <c r="F68" s="80">
        <v>25178.65</v>
      </c>
      <c r="G68" s="78">
        <f t="shared" si="1"/>
        <v>-5.6080708828565307E-3</v>
      </c>
      <c r="H68" s="71"/>
      <c r="I68" s="71"/>
      <c r="J68" s="71"/>
    </row>
    <row r="69" spans="2:10" x14ac:dyDescent="0.3">
      <c r="B69" s="179">
        <v>46082</v>
      </c>
      <c r="C69" s="80">
        <v>2195.4</v>
      </c>
      <c r="D69" s="78">
        <f t="shared" si="0"/>
        <v>-7.6087871391296913E-2</v>
      </c>
      <c r="E69" s="178"/>
      <c r="F69" s="80">
        <v>23114.5</v>
      </c>
      <c r="G69" s="78">
        <f t="shared" si="1"/>
        <v>-8.1980169707271844E-2</v>
      </c>
      <c r="H69" s="71"/>
      <c r="I69" s="71"/>
      <c r="J69" s="71"/>
    </row>
    <row r="70" spans="2:10" x14ac:dyDescent="0.3">
      <c r="B70" s="75"/>
      <c r="C70" s="76"/>
      <c r="D70" s="78"/>
      <c r="E70" s="71"/>
      <c r="F70" s="76"/>
      <c r="G70" s="78"/>
      <c r="H70" s="71"/>
      <c r="I70" s="71"/>
      <c r="J70" s="71"/>
    </row>
    <row r="71" spans="2:10" x14ac:dyDescent="0.3">
      <c r="B71" s="75"/>
      <c r="C71" s="76"/>
      <c r="D71" s="78"/>
      <c r="E71" s="71"/>
      <c r="F71" s="76"/>
      <c r="G71" s="78"/>
      <c r="H71" s="71"/>
      <c r="I71" s="71"/>
      <c r="J71" s="71"/>
    </row>
    <row r="72" spans="2:10" x14ac:dyDescent="0.3">
      <c r="B72" s="75"/>
      <c r="C72" s="76"/>
      <c r="D72" s="78"/>
      <c r="E72" s="71"/>
      <c r="F72" s="76"/>
      <c r="G72" s="78"/>
      <c r="H72" s="71"/>
      <c r="I72" s="71"/>
      <c r="J72" s="71"/>
    </row>
    <row r="73" spans="2:10" x14ac:dyDescent="0.3">
      <c r="B73" s="75"/>
      <c r="C73" s="76"/>
      <c r="D73" s="78"/>
      <c r="E73" s="71"/>
      <c r="F73" s="76"/>
      <c r="G73" s="78"/>
      <c r="H73" s="71"/>
      <c r="I73" s="71"/>
      <c r="J73" s="71"/>
    </row>
    <row r="74" spans="2:10" x14ac:dyDescent="0.3">
      <c r="B74" s="75"/>
      <c r="C74" s="76"/>
      <c r="D74" s="78"/>
      <c r="E74" s="71"/>
      <c r="F74" s="76"/>
      <c r="G74" s="78"/>
      <c r="H74" s="71"/>
      <c r="I74" s="71"/>
      <c r="J74" s="71"/>
    </row>
    <row r="75" spans="2:10" x14ac:dyDescent="0.3">
      <c r="B75" s="75"/>
      <c r="C75" s="76"/>
      <c r="D75" s="78"/>
      <c r="E75" s="71"/>
      <c r="F75" s="76"/>
      <c r="G75" s="78"/>
      <c r="H75" s="71"/>
      <c r="I75" s="71"/>
      <c r="J75" s="71"/>
    </row>
    <row r="76" spans="2:10" x14ac:dyDescent="0.3">
      <c r="B76" s="75"/>
      <c r="C76" s="76"/>
      <c r="D76" s="78"/>
      <c r="E76" s="71"/>
      <c r="F76" s="76"/>
      <c r="G76" s="78"/>
      <c r="H76" s="71"/>
      <c r="I76" s="71"/>
      <c r="J76" s="71"/>
    </row>
    <row r="77" spans="2:10" x14ac:dyDescent="0.3">
      <c r="B77" s="75"/>
      <c r="C77" s="76"/>
      <c r="D77" s="78"/>
      <c r="E77" s="71"/>
      <c r="F77" s="76"/>
      <c r="G77" s="78"/>
      <c r="H77" s="71"/>
      <c r="I77" s="71"/>
      <c r="J77" s="71"/>
    </row>
    <row r="78" spans="2:10" x14ac:dyDescent="0.3">
      <c r="B78" s="75"/>
      <c r="C78" s="76"/>
      <c r="D78" s="78"/>
      <c r="E78" s="71"/>
      <c r="F78" s="76"/>
      <c r="G78" s="78"/>
      <c r="H78" s="71"/>
      <c r="I78" s="71"/>
      <c r="J78" s="71"/>
    </row>
    <row r="79" spans="2:10" x14ac:dyDescent="0.3">
      <c r="B79" s="75"/>
      <c r="C79" s="76"/>
      <c r="D79" s="78"/>
      <c r="E79" s="71"/>
      <c r="F79" s="76"/>
      <c r="G79" s="78"/>
      <c r="H79" s="71"/>
      <c r="I79" s="71"/>
      <c r="J79" s="71"/>
    </row>
    <row r="80" spans="2:10" x14ac:dyDescent="0.3">
      <c r="B80" s="75"/>
      <c r="C80" s="76"/>
      <c r="D80" s="78"/>
      <c r="E80" s="71"/>
      <c r="F80" s="76"/>
      <c r="G80" s="78"/>
      <c r="H80" s="71"/>
      <c r="I80" s="71"/>
      <c r="J80" s="71"/>
    </row>
    <row r="81" spans="2:10" x14ac:dyDescent="0.3">
      <c r="B81" s="75"/>
      <c r="C81" s="76"/>
      <c r="D81" s="78"/>
      <c r="E81" s="71"/>
      <c r="F81" s="76"/>
      <c r="G81" s="78"/>
      <c r="H81" s="71"/>
      <c r="I81" s="71"/>
      <c r="J81" s="71"/>
    </row>
    <row r="82" spans="2:10" x14ac:dyDescent="0.3">
      <c r="B82" s="75"/>
      <c r="C82" s="76"/>
      <c r="D82" s="78"/>
      <c r="E82" s="71"/>
      <c r="F82" s="76"/>
      <c r="G82" s="78"/>
      <c r="H82" s="71"/>
      <c r="I82" s="71"/>
      <c r="J82" s="71"/>
    </row>
    <row r="83" spans="2:10" x14ac:dyDescent="0.3">
      <c r="B83" s="75"/>
      <c r="C83" s="76"/>
      <c r="D83" s="78"/>
      <c r="E83" s="71"/>
      <c r="F83" s="76"/>
      <c r="G83" s="78"/>
      <c r="H83" s="71"/>
      <c r="I83" s="71"/>
      <c r="J83" s="71"/>
    </row>
    <row r="84" spans="2:10" x14ac:dyDescent="0.3">
      <c r="B84" s="75"/>
      <c r="C84" s="76"/>
      <c r="D84" s="78"/>
      <c r="E84" s="71"/>
      <c r="F84" s="76"/>
      <c r="G84" s="78"/>
      <c r="H84" s="71"/>
      <c r="I84" s="71"/>
      <c r="J84" s="71"/>
    </row>
    <row r="85" spans="2:10" x14ac:dyDescent="0.3">
      <c r="B85" s="75"/>
      <c r="C85" s="76"/>
      <c r="D85" s="78"/>
      <c r="E85" s="71"/>
      <c r="F85" s="76"/>
      <c r="G85" s="78"/>
      <c r="H85" s="71"/>
      <c r="I85" s="71"/>
      <c r="J85" s="71"/>
    </row>
    <row r="86" spans="2:10" x14ac:dyDescent="0.3">
      <c r="B86" s="75"/>
      <c r="C86" s="76"/>
      <c r="D86" s="78"/>
      <c r="E86" s="71"/>
      <c r="F86" s="76"/>
      <c r="G86" s="78"/>
      <c r="H86" s="71"/>
      <c r="I86" s="71"/>
      <c r="J86" s="71"/>
    </row>
    <row r="87" spans="2:10" x14ac:dyDescent="0.3">
      <c r="B87" s="75"/>
      <c r="C87" s="76"/>
      <c r="D87" s="78"/>
      <c r="E87" s="71"/>
      <c r="F87" s="76"/>
      <c r="G87" s="78"/>
      <c r="H87" s="71"/>
      <c r="I87" s="71"/>
      <c r="J87" s="71"/>
    </row>
    <row r="88" spans="2:10" x14ac:dyDescent="0.3">
      <c r="B88" s="75"/>
      <c r="C88" s="76"/>
      <c r="D88" s="78"/>
      <c r="E88" s="71"/>
      <c r="F88" s="76"/>
      <c r="G88" s="78"/>
      <c r="H88" s="71"/>
      <c r="I88" s="71"/>
      <c r="J88" s="71"/>
    </row>
    <row r="89" spans="2:10" x14ac:dyDescent="0.3">
      <c r="B89" s="75"/>
      <c r="C89" s="76"/>
      <c r="D89" s="78"/>
      <c r="E89" s="71"/>
      <c r="F89" s="76"/>
      <c r="G89" s="78"/>
      <c r="H89" s="71"/>
      <c r="I89" s="71"/>
      <c r="J89" s="71"/>
    </row>
    <row r="90" spans="2:10" x14ac:dyDescent="0.3">
      <c r="B90" s="75"/>
      <c r="C90" s="76"/>
      <c r="D90" s="78"/>
      <c r="E90" s="71"/>
      <c r="F90" s="76"/>
      <c r="G90" s="78"/>
      <c r="H90" s="71"/>
      <c r="I90" s="71"/>
      <c r="J90" s="71"/>
    </row>
    <row r="91" spans="2:10" x14ac:dyDescent="0.3">
      <c r="B91" s="75"/>
      <c r="C91" s="76"/>
      <c r="D91" s="78"/>
      <c r="E91" s="71"/>
      <c r="F91" s="76"/>
      <c r="G91" s="78"/>
      <c r="H91" s="71"/>
      <c r="I91" s="71"/>
      <c r="J91" s="71"/>
    </row>
    <row r="92" spans="2:10" x14ac:dyDescent="0.3">
      <c r="B92" s="75"/>
      <c r="C92" s="76"/>
      <c r="D92" s="78"/>
      <c r="E92" s="71"/>
      <c r="F92" s="76"/>
      <c r="G92" s="78"/>
      <c r="H92" s="71"/>
      <c r="I92" s="71"/>
      <c r="J92" s="71"/>
    </row>
    <row r="93" spans="2:10" x14ac:dyDescent="0.3">
      <c r="B93" s="75"/>
      <c r="C93" s="76"/>
      <c r="D93" s="78"/>
      <c r="E93" s="71"/>
      <c r="F93" s="76"/>
      <c r="G93" s="78"/>
      <c r="H93" s="71"/>
      <c r="I93" s="71"/>
      <c r="J93" s="71"/>
    </row>
    <row r="94" spans="2:10" x14ac:dyDescent="0.3">
      <c r="B94" s="75"/>
      <c r="C94" s="76"/>
      <c r="D94" s="78"/>
      <c r="E94" s="71"/>
      <c r="F94" s="76"/>
      <c r="G94" s="78"/>
      <c r="H94" s="71"/>
      <c r="I94" s="71"/>
      <c r="J94" s="71"/>
    </row>
    <row r="95" spans="2:10" x14ac:dyDescent="0.3">
      <c r="B95" s="75"/>
      <c r="C95" s="76"/>
      <c r="D95" s="78"/>
      <c r="E95" s="71"/>
      <c r="F95" s="76"/>
      <c r="G95" s="78"/>
      <c r="H95" s="71"/>
      <c r="I95" s="71"/>
      <c r="J95" s="71"/>
    </row>
    <row r="96" spans="2:10" x14ac:dyDescent="0.3">
      <c r="B96" s="75"/>
      <c r="C96" s="76"/>
      <c r="D96" s="78"/>
      <c r="E96" s="71"/>
      <c r="F96" s="76"/>
      <c r="G96" s="78"/>
      <c r="H96" s="71"/>
      <c r="I96" s="71"/>
      <c r="J96" s="71"/>
    </row>
    <row r="97" spans="2:10" x14ac:dyDescent="0.3">
      <c r="B97" s="75"/>
      <c r="C97" s="76"/>
      <c r="D97" s="78"/>
      <c r="E97" s="71"/>
      <c r="F97" s="76"/>
      <c r="G97" s="78"/>
      <c r="H97" s="71"/>
      <c r="I97" s="71"/>
      <c r="J97" s="71"/>
    </row>
    <row r="98" spans="2:10" x14ac:dyDescent="0.3">
      <c r="B98" s="75"/>
      <c r="C98" s="76"/>
      <c r="D98" s="78"/>
      <c r="E98" s="71"/>
      <c r="F98" s="76"/>
      <c r="G98" s="78"/>
      <c r="H98" s="71"/>
      <c r="I98" s="71"/>
      <c r="J98" s="71"/>
    </row>
    <row r="99" spans="2:10" x14ac:dyDescent="0.3">
      <c r="B99" s="75"/>
      <c r="C99" s="76"/>
      <c r="D99" s="78"/>
      <c r="E99" s="71"/>
      <c r="F99" s="76"/>
      <c r="G99" s="78"/>
      <c r="H99" s="71"/>
      <c r="I99" s="71"/>
      <c r="J99" s="71"/>
    </row>
    <row r="100" spans="2:10" x14ac:dyDescent="0.3">
      <c r="B100" s="75"/>
      <c r="C100" s="76"/>
      <c r="D100" s="78"/>
      <c r="E100" s="71"/>
      <c r="F100" s="76"/>
      <c r="G100" s="78"/>
      <c r="H100" s="71"/>
      <c r="I100" s="71"/>
      <c r="J100" s="71"/>
    </row>
    <row r="101" spans="2:10" x14ac:dyDescent="0.3">
      <c r="B101" s="75"/>
      <c r="C101" s="76"/>
      <c r="D101" s="78"/>
      <c r="E101" s="71"/>
      <c r="F101" s="76"/>
      <c r="G101" s="78"/>
      <c r="H101" s="71"/>
      <c r="I101" s="71"/>
      <c r="J101" s="71"/>
    </row>
    <row r="102" spans="2:10" x14ac:dyDescent="0.3">
      <c r="B102" s="75"/>
      <c r="C102" s="76"/>
      <c r="D102" s="78"/>
      <c r="E102" s="71"/>
      <c r="F102" s="76"/>
      <c r="G102" s="78"/>
      <c r="H102" s="71"/>
      <c r="I102" s="71"/>
      <c r="J102" s="71"/>
    </row>
    <row r="103" spans="2:10" x14ac:dyDescent="0.3">
      <c r="B103" s="75"/>
      <c r="C103" s="76"/>
      <c r="D103" s="78"/>
      <c r="E103" s="71"/>
      <c r="F103" s="76"/>
      <c r="G103" s="78"/>
      <c r="H103" s="71"/>
      <c r="I103" s="71"/>
      <c r="J103" s="71"/>
    </row>
    <row r="104" spans="2:10" x14ac:dyDescent="0.3">
      <c r="B104" s="75"/>
      <c r="C104" s="76"/>
      <c r="D104" s="78"/>
      <c r="E104" s="71"/>
      <c r="F104" s="76"/>
      <c r="G104" s="78"/>
      <c r="H104" s="71"/>
      <c r="I104" s="71"/>
      <c r="J104" s="71"/>
    </row>
    <row r="105" spans="2:10" x14ac:dyDescent="0.3">
      <c r="B105" s="75"/>
      <c r="C105" s="76"/>
      <c r="D105" s="78"/>
      <c r="E105" s="71"/>
      <c r="F105" s="76"/>
      <c r="G105" s="78"/>
      <c r="H105" s="71"/>
      <c r="I105" s="71"/>
      <c r="J105" s="71"/>
    </row>
    <row r="106" spans="2:10" x14ac:dyDescent="0.3">
      <c r="B106" s="75"/>
      <c r="C106" s="76"/>
      <c r="D106" s="78"/>
      <c r="E106" s="71"/>
      <c r="F106" s="76"/>
      <c r="G106" s="78"/>
      <c r="H106" s="71"/>
      <c r="I106" s="71"/>
      <c r="J106" s="71"/>
    </row>
    <row r="107" spans="2:10" x14ac:dyDescent="0.3">
      <c r="B107" s="75"/>
      <c r="C107" s="76"/>
      <c r="D107" s="78"/>
      <c r="E107" s="71"/>
      <c r="F107" s="76"/>
      <c r="G107" s="78"/>
      <c r="H107" s="71"/>
      <c r="I107" s="71"/>
      <c r="J107" s="71"/>
    </row>
    <row r="108" spans="2:10" x14ac:dyDescent="0.3">
      <c r="B108" s="75"/>
      <c r="C108" s="76"/>
      <c r="D108" s="78"/>
      <c r="E108" s="71"/>
      <c r="F108" s="76"/>
      <c r="G108" s="78"/>
      <c r="H108" s="71"/>
      <c r="I108" s="71"/>
      <c r="J108" s="71"/>
    </row>
    <row r="109" spans="2:10" x14ac:dyDescent="0.3">
      <c r="B109" s="75"/>
      <c r="C109" s="76"/>
      <c r="D109" s="78"/>
      <c r="E109" s="71"/>
      <c r="F109" s="76"/>
      <c r="G109" s="78"/>
      <c r="H109" s="71"/>
      <c r="I109" s="71"/>
      <c r="J109" s="71"/>
    </row>
    <row r="110" spans="2:10" x14ac:dyDescent="0.3">
      <c r="B110" s="75"/>
      <c r="C110" s="76"/>
      <c r="D110" s="78"/>
      <c r="E110" s="71"/>
      <c r="F110" s="76"/>
      <c r="G110" s="78"/>
      <c r="H110" s="71"/>
      <c r="I110" s="71"/>
      <c r="J110" s="71"/>
    </row>
    <row r="111" spans="2:10" x14ac:dyDescent="0.3">
      <c r="B111" s="75"/>
      <c r="C111" s="76"/>
      <c r="D111" s="78"/>
      <c r="E111" s="71"/>
      <c r="F111" s="76"/>
      <c r="G111" s="78"/>
      <c r="H111" s="71"/>
      <c r="I111" s="71"/>
      <c r="J111" s="71"/>
    </row>
    <row r="112" spans="2:10" x14ac:dyDescent="0.3">
      <c r="B112" s="75"/>
      <c r="C112" s="76"/>
      <c r="D112" s="78"/>
      <c r="E112" s="71"/>
      <c r="F112" s="76"/>
      <c r="G112" s="78"/>
      <c r="H112" s="71"/>
      <c r="I112" s="71"/>
      <c r="J112" s="71"/>
    </row>
  </sheetData>
  <mergeCells count="3">
    <mergeCell ref="B7:D7"/>
    <mergeCell ref="F7:G7"/>
    <mergeCell ref="I7:J7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85F6-9E40-4A99-A40D-0296E3A4590A}">
  <dimension ref="A2:XEZ188"/>
  <sheetViews>
    <sheetView showGridLines="0" topLeftCell="E12" zoomScaleNormal="100" workbookViewId="0">
      <selection activeCell="F76" sqref="F76"/>
    </sheetView>
  </sheetViews>
  <sheetFormatPr defaultRowHeight="14.4" x14ac:dyDescent="0.3"/>
  <cols>
    <col min="1" max="1" width="1.88671875" customWidth="1"/>
    <col min="2" max="2" width="12.77734375" customWidth="1"/>
    <col min="3" max="3" width="13.88671875" customWidth="1"/>
    <col min="4" max="4" width="14.77734375" customWidth="1"/>
    <col min="5" max="5" width="11.21875" customWidth="1"/>
    <col min="6" max="6" width="18.21875" customWidth="1"/>
    <col min="7" max="7" width="17.77734375" customWidth="1"/>
    <col min="8" max="8" width="11.109375" customWidth="1"/>
    <col min="9" max="9" width="17.5546875" customWidth="1"/>
    <col min="10" max="10" width="14.44140625" customWidth="1"/>
    <col min="12" max="12" width="12" bestFit="1" customWidth="1"/>
  </cols>
  <sheetData>
    <row r="2" spans="1:1024 1026:2048 2050:3072 3074:4096 4098:5120 5122:6144 6146:7168 7170:8192 8194:9216 9218:10240 10242:11264 11266:12288 12290:13312 13314:14336 14338:15360 15362:16380" x14ac:dyDescent="0.3"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</row>
    <row r="3" spans="1:1024 1026:2048 2050:3072 3074:4096 4098:5120 5122:6144 6146:7168 7170:8192 8194:9216 9218:10240 10242:11264 11266:12288 12290:13312 13314:14336 14338:15360 15362:16380" x14ac:dyDescent="0.3"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</row>
    <row r="4" spans="1:1024 1026:2048 2050:3072 3074:4096 4098:5120 5122:6144 6146:7168 7170:8192 8194:9216 9218:10240 10242:11264 11266:12288 12290:13312 13314:14336 14338:15360 15362:16380" x14ac:dyDescent="0.3">
      <c r="A4" s="2"/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2"/>
      <c r="P4" s="2"/>
      <c r="R4" s="2"/>
      <c r="T4" s="2"/>
      <c r="V4" s="2"/>
      <c r="X4" s="2"/>
      <c r="Z4" s="2"/>
      <c r="AB4" s="2"/>
      <c r="AD4" s="2"/>
      <c r="AF4" s="2"/>
      <c r="AH4" s="2"/>
      <c r="AJ4" s="2"/>
      <c r="AL4" s="2"/>
      <c r="AN4" s="2"/>
      <c r="AP4" s="2"/>
      <c r="AR4" s="2"/>
      <c r="AT4" s="2"/>
      <c r="AV4" s="2"/>
      <c r="AX4" s="2"/>
      <c r="AZ4" s="2"/>
      <c r="BB4" s="2"/>
      <c r="BD4" s="2"/>
      <c r="BF4" s="2"/>
      <c r="BH4" s="2"/>
      <c r="BJ4" s="2"/>
      <c r="BL4" s="2"/>
      <c r="BN4" s="2"/>
      <c r="BP4" s="2"/>
      <c r="BR4" s="2"/>
      <c r="BT4" s="2"/>
      <c r="BV4" s="2"/>
      <c r="BX4" s="2"/>
      <c r="BZ4" s="2"/>
      <c r="CB4" s="2"/>
      <c r="CD4" s="2"/>
      <c r="CF4" s="2"/>
      <c r="CH4" s="2"/>
      <c r="CJ4" s="2"/>
      <c r="CL4" s="2"/>
      <c r="CN4" s="2"/>
      <c r="CP4" s="2"/>
      <c r="CR4" s="2"/>
      <c r="CT4" s="2"/>
      <c r="CV4" s="2"/>
      <c r="CX4" s="2"/>
      <c r="CZ4" s="2"/>
      <c r="DB4" s="2"/>
      <c r="DD4" s="2"/>
      <c r="DF4" s="2"/>
      <c r="DH4" s="2"/>
      <c r="DJ4" s="2"/>
      <c r="DL4" s="2"/>
      <c r="DN4" s="2"/>
      <c r="DP4" s="2"/>
      <c r="DR4" s="2"/>
      <c r="DT4" s="2"/>
      <c r="DV4" s="2"/>
      <c r="DX4" s="2"/>
      <c r="DZ4" s="2"/>
      <c r="EB4" s="2"/>
      <c r="ED4" s="2"/>
      <c r="EF4" s="2"/>
      <c r="EH4" s="2"/>
      <c r="EJ4" s="2"/>
      <c r="EL4" s="2"/>
      <c r="EN4" s="2"/>
      <c r="EP4" s="2"/>
      <c r="ER4" s="2"/>
      <c r="ET4" s="2"/>
      <c r="EV4" s="2"/>
      <c r="EX4" s="2"/>
      <c r="EZ4" s="2"/>
      <c r="FB4" s="2"/>
      <c r="FD4" s="2"/>
      <c r="FF4" s="2"/>
      <c r="FH4" s="2"/>
      <c r="FJ4" s="2"/>
      <c r="FL4" s="2"/>
      <c r="FN4" s="2"/>
      <c r="FP4" s="2"/>
      <c r="FR4" s="2"/>
      <c r="FT4" s="2"/>
      <c r="FV4" s="2"/>
      <c r="FX4" s="2"/>
      <c r="FZ4" s="2"/>
      <c r="GB4" s="2"/>
      <c r="GD4" s="2"/>
      <c r="GF4" s="2"/>
      <c r="GH4" s="2"/>
      <c r="GJ4" s="2"/>
      <c r="GL4" s="2"/>
      <c r="GN4" s="2"/>
      <c r="GP4" s="2"/>
      <c r="GR4" s="2"/>
      <c r="GT4" s="2"/>
      <c r="GV4" s="2"/>
      <c r="GX4" s="2"/>
      <c r="GZ4" s="2"/>
      <c r="HB4" s="2"/>
      <c r="HD4" s="2"/>
      <c r="HF4" s="2"/>
      <c r="HH4" s="2"/>
      <c r="HJ4" s="2"/>
      <c r="HL4" s="2"/>
      <c r="HN4" s="2"/>
      <c r="HP4" s="2"/>
      <c r="HR4" s="2"/>
      <c r="HT4" s="2"/>
      <c r="HV4" s="2"/>
      <c r="HX4" s="2"/>
      <c r="HZ4" s="2"/>
      <c r="IB4" s="2"/>
      <c r="ID4" s="2"/>
      <c r="IF4" s="2"/>
      <c r="IH4" s="2"/>
      <c r="IJ4" s="2"/>
      <c r="IL4" s="2"/>
      <c r="IN4" s="2"/>
      <c r="IP4" s="2"/>
      <c r="IR4" s="2"/>
      <c r="IT4" s="2"/>
      <c r="IV4" s="2"/>
      <c r="IX4" s="2"/>
      <c r="IZ4" s="2"/>
      <c r="JB4" s="2"/>
      <c r="JD4" s="2"/>
      <c r="JF4" s="2"/>
      <c r="JH4" s="2"/>
      <c r="JJ4" s="2"/>
      <c r="JL4" s="2"/>
      <c r="JN4" s="2"/>
      <c r="JP4" s="2"/>
      <c r="JR4" s="2"/>
      <c r="JT4" s="2"/>
      <c r="JV4" s="2"/>
      <c r="JX4" s="2"/>
      <c r="JZ4" s="2"/>
      <c r="KB4" s="2"/>
      <c r="KD4" s="2"/>
      <c r="KF4" s="2"/>
      <c r="KH4" s="2"/>
      <c r="KJ4" s="2"/>
      <c r="KL4" s="2"/>
      <c r="KN4" s="2"/>
      <c r="KP4" s="2"/>
      <c r="KR4" s="2"/>
      <c r="KT4" s="2"/>
      <c r="KV4" s="2"/>
      <c r="KX4" s="2"/>
      <c r="KZ4" s="2"/>
      <c r="LB4" s="2"/>
      <c r="LD4" s="2"/>
      <c r="LF4" s="2"/>
      <c r="LH4" s="2"/>
      <c r="LJ4" s="2"/>
      <c r="LL4" s="2"/>
      <c r="LN4" s="2"/>
      <c r="LP4" s="2"/>
      <c r="LR4" s="2"/>
      <c r="LT4" s="2"/>
      <c r="LV4" s="2"/>
      <c r="LX4" s="2"/>
      <c r="LZ4" s="2"/>
      <c r="MB4" s="2"/>
      <c r="MD4" s="2"/>
      <c r="MF4" s="2"/>
      <c r="MH4" s="2"/>
      <c r="MJ4" s="2"/>
      <c r="ML4" s="2"/>
      <c r="MN4" s="2"/>
      <c r="MP4" s="2"/>
      <c r="MR4" s="2"/>
      <c r="MT4" s="2"/>
      <c r="MV4" s="2"/>
      <c r="MX4" s="2"/>
      <c r="MZ4" s="2"/>
      <c r="NB4" s="2"/>
      <c r="ND4" s="2"/>
      <c r="NF4" s="2"/>
      <c r="NH4" s="2"/>
      <c r="NJ4" s="2"/>
      <c r="NL4" s="2"/>
      <c r="NN4" s="2"/>
      <c r="NP4" s="2"/>
      <c r="NR4" s="2"/>
      <c r="NT4" s="2"/>
      <c r="NV4" s="2"/>
      <c r="NX4" s="2"/>
      <c r="NZ4" s="2"/>
      <c r="OB4" s="2"/>
      <c r="OD4" s="2"/>
      <c r="OF4" s="2"/>
      <c r="OH4" s="2"/>
      <c r="OJ4" s="2"/>
      <c r="OL4" s="2"/>
      <c r="ON4" s="2"/>
      <c r="OP4" s="2"/>
      <c r="OR4" s="2"/>
      <c r="OT4" s="2"/>
      <c r="OV4" s="2"/>
      <c r="OX4" s="2"/>
      <c r="OZ4" s="2"/>
      <c r="PB4" s="2"/>
      <c r="PD4" s="2"/>
      <c r="PF4" s="2"/>
      <c r="PH4" s="2"/>
      <c r="PJ4" s="2"/>
      <c r="PL4" s="2"/>
      <c r="PN4" s="2"/>
      <c r="PP4" s="2"/>
      <c r="PR4" s="2"/>
      <c r="PT4" s="2"/>
      <c r="PV4" s="2"/>
      <c r="PX4" s="2"/>
      <c r="PZ4" s="2"/>
      <c r="QB4" s="2"/>
      <c r="QD4" s="2"/>
      <c r="QF4" s="2"/>
      <c r="QH4" s="2"/>
      <c r="QJ4" s="2"/>
      <c r="QL4" s="2"/>
      <c r="QN4" s="2"/>
      <c r="QP4" s="2"/>
      <c r="QR4" s="2"/>
      <c r="QT4" s="2"/>
      <c r="QV4" s="2"/>
      <c r="QX4" s="2"/>
      <c r="QZ4" s="2"/>
      <c r="RB4" s="2"/>
      <c r="RD4" s="2"/>
      <c r="RF4" s="2"/>
      <c r="RH4" s="2"/>
      <c r="RJ4" s="2"/>
      <c r="RL4" s="2"/>
      <c r="RN4" s="2"/>
      <c r="RP4" s="2"/>
      <c r="RR4" s="2"/>
      <c r="RT4" s="2"/>
      <c r="RV4" s="2"/>
      <c r="RX4" s="2"/>
      <c r="RZ4" s="2"/>
      <c r="SB4" s="2"/>
      <c r="SD4" s="2"/>
      <c r="SF4" s="2"/>
      <c r="SH4" s="2"/>
      <c r="SJ4" s="2"/>
      <c r="SL4" s="2"/>
      <c r="SN4" s="2"/>
      <c r="SP4" s="2"/>
      <c r="SR4" s="2"/>
      <c r="ST4" s="2"/>
      <c r="SV4" s="2"/>
      <c r="SX4" s="2"/>
      <c r="SZ4" s="2"/>
      <c r="TB4" s="2"/>
      <c r="TD4" s="2"/>
      <c r="TF4" s="2"/>
      <c r="TH4" s="2"/>
      <c r="TJ4" s="2"/>
      <c r="TL4" s="2"/>
      <c r="TN4" s="2"/>
      <c r="TP4" s="2"/>
      <c r="TR4" s="2"/>
      <c r="TT4" s="2"/>
      <c r="TV4" s="2"/>
      <c r="TX4" s="2"/>
      <c r="TZ4" s="2"/>
      <c r="UB4" s="2"/>
      <c r="UD4" s="2"/>
      <c r="UF4" s="2"/>
      <c r="UH4" s="2"/>
      <c r="UJ4" s="2"/>
      <c r="UL4" s="2"/>
      <c r="UN4" s="2"/>
      <c r="UP4" s="2"/>
      <c r="UR4" s="2"/>
      <c r="UT4" s="2"/>
      <c r="UV4" s="2"/>
      <c r="UX4" s="2"/>
      <c r="UZ4" s="2"/>
      <c r="VB4" s="2"/>
      <c r="VD4" s="2"/>
      <c r="VF4" s="2"/>
      <c r="VH4" s="2"/>
      <c r="VJ4" s="2"/>
      <c r="VL4" s="2"/>
      <c r="VN4" s="2"/>
      <c r="VP4" s="2"/>
      <c r="VR4" s="2"/>
      <c r="VT4" s="2"/>
      <c r="VV4" s="2"/>
      <c r="VX4" s="2"/>
      <c r="VZ4" s="2"/>
      <c r="WB4" s="2"/>
      <c r="WD4" s="2"/>
      <c r="WF4" s="2"/>
      <c r="WH4" s="2"/>
      <c r="WJ4" s="2"/>
      <c r="WL4" s="2"/>
      <c r="WN4" s="2"/>
      <c r="WP4" s="2"/>
      <c r="WR4" s="2"/>
      <c r="WT4" s="2"/>
      <c r="WV4" s="2"/>
      <c r="WX4" s="2"/>
      <c r="WZ4" s="2"/>
      <c r="XB4" s="2"/>
      <c r="XD4" s="2"/>
      <c r="XF4" s="2"/>
      <c r="XH4" s="2"/>
      <c r="XJ4" s="2"/>
      <c r="XL4" s="2"/>
      <c r="XN4" s="2"/>
      <c r="XP4" s="2"/>
      <c r="XR4" s="2"/>
      <c r="XT4" s="2"/>
      <c r="XV4" s="2"/>
      <c r="XX4" s="2"/>
      <c r="XZ4" s="2"/>
      <c r="YB4" s="2"/>
      <c r="YD4" s="2"/>
      <c r="YF4" s="2"/>
      <c r="YH4" s="2"/>
      <c r="YJ4" s="2"/>
      <c r="YL4" s="2"/>
      <c r="YN4" s="2"/>
      <c r="YP4" s="2"/>
      <c r="YR4" s="2"/>
      <c r="YT4" s="2"/>
      <c r="YV4" s="2"/>
      <c r="YX4" s="2"/>
      <c r="YZ4" s="2"/>
      <c r="ZB4" s="2"/>
      <c r="ZD4" s="2"/>
      <c r="ZF4" s="2"/>
      <c r="ZH4" s="2"/>
      <c r="ZJ4" s="2"/>
      <c r="ZL4" s="2"/>
      <c r="ZN4" s="2"/>
      <c r="ZP4" s="2"/>
      <c r="ZR4" s="2"/>
      <c r="ZT4" s="2"/>
      <c r="ZV4" s="2"/>
      <c r="ZX4" s="2"/>
      <c r="ZZ4" s="2"/>
      <c r="AAB4" s="2"/>
      <c r="AAD4" s="2"/>
      <c r="AAF4" s="2"/>
      <c r="AAH4" s="2"/>
      <c r="AAJ4" s="2"/>
      <c r="AAL4" s="2"/>
      <c r="AAN4" s="2"/>
      <c r="AAP4" s="2"/>
      <c r="AAR4" s="2"/>
      <c r="AAT4" s="2"/>
      <c r="AAV4" s="2"/>
      <c r="AAX4" s="2"/>
      <c r="AAZ4" s="2"/>
      <c r="ABB4" s="2"/>
      <c r="ABD4" s="2"/>
      <c r="ABF4" s="2"/>
      <c r="ABH4" s="2"/>
      <c r="ABJ4" s="2"/>
      <c r="ABL4" s="2"/>
      <c r="ABN4" s="2"/>
      <c r="ABP4" s="2"/>
      <c r="ABR4" s="2"/>
      <c r="ABT4" s="2"/>
      <c r="ABV4" s="2"/>
      <c r="ABX4" s="2"/>
      <c r="ABZ4" s="2"/>
      <c r="ACB4" s="2"/>
      <c r="ACD4" s="2"/>
      <c r="ACF4" s="2"/>
      <c r="ACH4" s="2"/>
      <c r="ACJ4" s="2"/>
      <c r="ACL4" s="2"/>
      <c r="ACN4" s="2"/>
      <c r="ACP4" s="2"/>
      <c r="ACR4" s="2"/>
      <c r="ACT4" s="2"/>
      <c r="ACV4" s="2"/>
      <c r="ACX4" s="2"/>
      <c r="ACZ4" s="2"/>
      <c r="ADB4" s="2"/>
      <c r="ADD4" s="2"/>
      <c r="ADF4" s="2"/>
      <c r="ADH4" s="2"/>
      <c r="ADJ4" s="2"/>
      <c r="ADL4" s="2"/>
      <c r="ADN4" s="2"/>
      <c r="ADP4" s="2"/>
      <c r="ADR4" s="2"/>
      <c r="ADT4" s="2"/>
      <c r="ADV4" s="2"/>
      <c r="ADX4" s="2"/>
      <c r="ADZ4" s="2"/>
      <c r="AEB4" s="2"/>
      <c r="AED4" s="2"/>
      <c r="AEF4" s="2"/>
      <c r="AEH4" s="2"/>
      <c r="AEJ4" s="2"/>
      <c r="AEL4" s="2"/>
      <c r="AEN4" s="2"/>
      <c r="AEP4" s="2"/>
      <c r="AER4" s="2"/>
      <c r="AET4" s="2"/>
      <c r="AEV4" s="2"/>
      <c r="AEX4" s="2"/>
      <c r="AEZ4" s="2"/>
      <c r="AFB4" s="2"/>
      <c r="AFD4" s="2"/>
      <c r="AFF4" s="2"/>
      <c r="AFH4" s="2"/>
      <c r="AFJ4" s="2"/>
      <c r="AFL4" s="2"/>
      <c r="AFN4" s="2"/>
      <c r="AFP4" s="2"/>
      <c r="AFR4" s="2"/>
      <c r="AFT4" s="2"/>
      <c r="AFV4" s="2"/>
      <c r="AFX4" s="2"/>
      <c r="AFZ4" s="2"/>
      <c r="AGB4" s="2"/>
      <c r="AGD4" s="2"/>
      <c r="AGF4" s="2"/>
      <c r="AGH4" s="2"/>
      <c r="AGJ4" s="2"/>
      <c r="AGL4" s="2"/>
      <c r="AGN4" s="2"/>
      <c r="AGP4" s="2"/>
      <c r="AGR4" s="2"/>
      <c r="AGT4" s="2"/>
      <c r="AGV4" s="2"/>
      <c r="AGX4" s="2"/>
      <c r="AGZ4" s="2"/>
      <c r="AHB4" s="2"/>
      <c r="AHD4" s="2"/>
      <c r="AHF4" s="2"/>
      <c r="AHH4" s="2"/>
      <c r="AHJ4" s="2"/>
      <c r="AHL4" s="2"/>
      <c r="AHN4" s="2"/>
      <c r="AHP4" s="2"/>
      <c r="AHR4" s="2"/>
      <c r="AHT4" s="2"/>
      <c r="AHV4" s="2"/>
      <c r="AHX4" s="2"/>
      <c r="AHZ4" s="2"/>
      <c r="AIB4" s="2"/>
      <c r="AID4" s="2"/>
      <c r="AIF4" s="2"/>
      <c r="AIH4" s="2"/>
      <c r="AIJ4" s="2"/>
      <c r="AIL4" s="2"/>
      <c r="AIN4" s="2"/>
      <c r="AIP4" s="2"/>
      <c r="AIR4" s="2"/>
      <c r="AIT4" s="2"/>
      <c r="AIV4" s="2"/>
      <c r="AIX4" s="2"/>
      <c r="AIZ4" s="2"/>
      <c r="AJB4" s="2"/>
      <c r="AJD4" s="2"/>
      <c r="AJF4" s="2"/>
      <c r="AJH4" s="2"/>
      <c r="AJJ4" s="2"/>
      <c r="AJL4" s="2"/>
      <c r="AJN4" s="2"/>
      <c r="AJP4" s="2"/>
      <c r="AJR4" s="2"/>
      <c r="AJT4" s="2"/>
      <c r="AJV4" s="2"/>
      <c r="AJX4" s="2"/>
      <c r="AJZ4" s="2"/>
      <c r="AKB4" s="2"/>
      <c r="AKD4" s="2"/>
      <c r="AKF4" s="2"/>
      <c r="AKH4" s="2"/>
      <c r="AKJ4" s="2"/>
      <c r="AKL4" s="2"/>
      <c r="AKN4" s="2"/>
      <c r="AKP4" s="2"/>
      <c r="AKR4" s="2"/>
      <c r="AKT4" s="2"/>
      <c r="AKV4" s="2"/>
      <c r="AKX4" s="2"/>
      <c r="AKZ4" s="2"/>
      <c r="ALB4" s="2"/>
      <c r="ALD4" s="2"/>
      <c r="ALF4" s="2"/>
      <c r="ALH4" s="2"/>
      <c r="ALJ4" s="2"/>
      <c r="ALL4" s="2"/>
      <c r="ALN4" s="2"/>
      <c r="ALP4" s="2"/>
      <c r="ALR4" s="2"/>
      <c r="ALT4" s="2"/>
      <c r="ALV4" s="2"/>
      <c r="ALX4" s="2"/>
      <c r="ALZ4" s="2"/>
      <c r="AMB4" s="2"/>
      <c r="AMD4" s="2"/>
      <c r="AMF4" s="2"/>
      <c r="AMH4" s="2"/>
      <c r="AMJ4" s="2"/>
      <c r="AML4" s="2"/>
      <c r="AMN4" s="2"/>
      <c r="AMP4" s="2"/>
      <c r="AMR4" s="2"/>
      <c r="AMT4" s="2"/>
      <c r="AMV4" s="2"/>
      <c r="AMX4" s="2"/>
      <c r="AMZ4" s="2"/>
      <c r="ANB4" s="2"/>
      <c r="AND4" s="2"/>
      <c r="ANF4" s="2"/>
      <c r="ANH4" s="2"/>
      <c r="ANJ4" s="2"/>
      <c r="ANL4" s="2"/>
      <c r="ANN4" s="2"/>
      <c r="ANP4" s="2"/>
      <c r="ANR4" s="2"/>
      <c r="ANT4" s="2"/>
      <c r="ANV4" s="2"/>
      <c r="ANX4" s="2"/>
      <c r="ANZ4" s="2"/>
      <c r="AOB4" s="2"/>
      <c r="AOD4" s="2"/>
      <c r="AOF4" s="2"/>
      <c r="AOH4" s="2"/>
      <c r="AOJ4" s="2"/>
      <c r="AOL4" s="2"/>
      <c r="AON4" s="2"/>
      <c r="AOP4" s="2"/>
      <c r="AOR4" s="2"/>
      <c r="AOT4" s="2"/>
      <c r="AOV4" s="2"/>
      <c r="AOX4" s="2"/>
      <c r="AOZ4" s="2"/>
      <c r="APB4" s="2"/>
      <c r="APD4" s="2"/>
      <c r="APF4" s="2"/>
      <c r="APH4" s="2"/>
      <c r="APJ4" s="2"/>
      <c r="APL4" s="2"/>
      <c r="APN4" s="2"/>
      <c r="APP4" s="2"/>
      <c r="APR4" s="2"/>
      <c r="APT4" s="2"/>
      <c r="APV4" s="2"/>
      <c r="APX4" s="2"/>
      <c r="APZ4" s="2"/>
      <c r="AQB4" s="2"/>
      <c r="AQD4" s="2"/>
      <c r="AQF4" s="2"/>
      <c r="AQH4" s="2"/>
      <c r="AQJ4" s="2"/>
      <c r="AQL4" s="2"/>
      <c r="AQN4" s="2"/>
      <c r="AQP4" s="2"/>
      <c r="AQR4" s="2"/>
      <c r="AQT4" s="2"/>
      <c r="AQV4" s="2"/>
      <c r="AQX4" s="2"/>
      <c r="AQZ4" s="2"/>
      <c r="ARB4" s="2"/>
      <c r="ARD4" s="2"/>
      <c r="ARF4" s="2"/>
      <c r="ARH4" s="2"/>
      <c r="ARJ4" s="2"/>
      <c r="ARL4" s="2"/>
      <c r="ARN4" s="2"/>
      <c r="ARP4" s="2"/>
      <c r="ARR4" s="2"/>
      <c r="ART4" s="2"/>
      <c r="ARV4" s="2"/>
      <c r="ARX4" s="2"/>
      <c r="ARZ4" s="2"/>
      <c r="ASB4" s="2"/>
      <c r="ASD4" s="2"/>
      <c r="ASF4" s="2"/>
      <c r="ASH4" s="2"/>
      <c r="ASJ4" s="2"/>
      <c r="ASL4" s="2"/>
      <c r="ASN4" s="2"/>
      <c r="ASP4" s="2"/>
      <c r="ASR4" s="2"/>
      <c r="AST4" s="2"/>
      <c r="ASV4" s="2"/>
      <c r="ASX4" s="2"/>
      <c r="ASZ4" s="2"/>
      <c r="ATB4" s="2"/>
      <c r="ATD4" s="2"/>
      <c r="ATF4" s="2"/>
      <c r="ATH4" s="2"/>
      <c r="ATJ4" s="2"/>
      <c r="ATL4" s="2"/>
      <c r="ATN4" s="2"/>
      <c r="ATP4" s="2"/>
      <c r="ATR4" s="2"/>
      <c r="ATT4" s="2"/>
      <c r="ATV4" s="2"/>
      <c r="ATX4" s="2"/>
      <c r="ATZ4" s="2"/>
      <c r="AUB4" s="2"/>
      <c r="AUD4" s="2"/>
      <c r="AUF4" s="2"/>
      <c r="AUH4" s="2"/>
      <c r="AUJ4" s="2"/>
      <c r="AUL4" s="2"/>
      <c r="AUN4" s="2"/>
      <c r="AUP4" s="2"/>
      <c r="AUR4" s="2"/>
      <c r="AUT4" s="2"/>
      <c r="AUV4" s="2"/>
      <c r="AUX4" s="2"/>
      <c r="AUZ4" s="2"/>
      <c r="AVB4" s="2"/>
      <c r="AVD4" s="2"/>
      <c r="AVF4" s="2"/>
      <c r="AVH4" s="2"/>
      <c r="AVJ4" s="2"/>
      <c r="AVL4" s="2"/>
      <c r="AVN4" s="2"/>
      <c r="AVP4" s="2"/>
      <c r="AVR4" s="2"/>
      <c r="AVT4" s="2"/>
      <c r="AVV4" s="2"/>
      <c r="AVX4" s="2"/>
      <c r="AVZ4" s="2"/>
      <c r="AWB4" s="2"/>
      <c r="AWD4" s="2"/>
      <c r="AWF4" s="2"/>
      <c r="AWH4" s="2"/>
      <c r="AWJ4" s="2"/>
      <c r="AWL4" s="2"/>
      <c r="AWN4" s="2"/>
      <c r="AWP4" s="2"/>
      <c r="AWR4" s="2"/>
      <c r="AWT4" s="2"/>
      <c r="AWV4" s="2"/>
      <c r="AWX4" s="2"/>
      <c r="AWZ4" s="2"/>
      <c r="AXB4" s="2"/>
      <c r="AXD4" s="2"/>
      <c r="AXF4" s="2"/>
      <c r="AXH4" s="2"/>
      <c r="AXJ4" s="2"/>
      <c r="AXL4" s="2"/>
      <c r="AXN4" s="2"/>
      <c r="AXP4" s="2"/>
      <c r="AXR4" s="2"/>
      <c r="AXT4" s="2"/>
      <c r="AXV4" s="2"/>
      <c r="AXX4" s="2"/>
      <c r="AXZ4" s="2"/>
      <c r="AYB4" s="2"/>
      <c r="AYD4" s="2"/>
      <c r="AYF4" s="2"/>
      <c r="AYH4" s="2"/>
      <c r="AYJ4" s="2"/>
      <c r="AYL4" s="2"/>
      <c r="AYN4" s="2"/>
      <c r="AYP4" s="2"/>
      <c r="AYR4" s="2"/>
      <c r="AYT4" s="2"/>
      <c r="AYV4" s="2"/>
      <c r="AYX4" s="2"/>
      <c r="AYZ4" s="2"/>
      <c r="AZB4" s="2"/>
      <c r="AZD4" s="2"/>
      <c r="AZF4" s="2"/>
      <c r="AZH4" s="2"/>
      <c r="AZJ4" s="2"/>
      <c r="AZL4" s="2"/>
      <c r="AZN4" s="2"/>
      <c r="AZP4" s="2"/>
      <c r="AZR4" s="2"/>
      <c r="AZT4" s="2"/>
      <c r="AZV4" s="2"/>
      <c r="AZX4" s="2"/>
      <c r="AZZ4" s="2"/>
      <c r="BAB4" s="2"/>
      <c r="BAD4" s="2"/>
      <c r="BAF4" s="2"/>
      <c r="BAH4" s="2"/>
      <c r="BAJ4" s="2"/>
      <c r="BAL4" s="2"/>
      <c r="BAN4" s="2"/>
      <c r="BAP4" s="2"/>
      <c r="BAR4" s="2"/>
      <c r="BAT4" s="2"/>
      <c r="BAV4" s="2"/>
      <c r="BAX4" s="2"/>
      <c r="BAZ4" s="2"/>
      <c r="BBB4" s="2"/>
      <c r="BBD4" s="2"/>
      <c r="BBF4" s="2"/>
      <c r="BBH4" s="2"/>
      <c r="BBJ4" s="2"/>
      <c r="BBL4" s="2"/>
      <c r="BBN4" s="2"/>
      <c r="BBP4" s="2"/>
      <c r="BBR4" s="2"/>
      <c r="BBT4" s="2"/>
      <c r="BBV4" s="2"/>
      <c r="BBX4" s="2"/>
      <c r="BBZ4" s="2"/>
      <c r="BCB4" s="2"/>
      <c r="BCD4" s="2"/>
      <c r="BCF4" s="2"/>
      <c r="BCH4" s="2"/>
      <c r="BCJ4" s="2"/>
      <c r="BCL4" s="2"/>
      <c r="BCN4" s="2"/>
      <c r="BCP4" s="2"/>
      <c r="BCR4" s="2"/>
      <c r="BCT4" s="2"/>
      <c r="BCV4" s="2"/>
      <c r="BCX4" s="2"/>
      <c r="BCZ4" s="2"/>
      <c r="BDB4" s="2"/>
      <c r="BDD4" s="2"/>
      <c r="BDF4" s="2"/>
      <c r="BDH4" s="2"/>
      <c r="BDJ4" s="2"/>
      <c r="BDL4" s="2"/>
      <c r="BDN4" s="2"/>
      <c r="BDP4" s="2"/>
      <c r="BDR4" s="2"/>
      <c r="BDT4" s="2"/>
      <c r="BDV4" s="2"/>
      <c r="BDX4" s="2"/>
      <c r="BDZ4" s="2"/>
      <c r="BEB4" s="2"/>
      <c r="BED4" s="2"/>
      <c r="BEF4" s="2"/>
      <c r="BEH4" s="2"/>
      <c r="BEJ4" s="2"/>
      <c r="BEL4" s="2"/>
      <c r="BEN4" s="2"/>
      <c r="BEP4" s="2"/>
      <c r="BER4" s="2"/>
      <c r="BET4" s="2"/>
      <c r="BEV4" s="2"/>
      <c r="BEX4" s="2"/>
      <c r="BEZ4" s="2"/>
      <c r="BFB4" s="2"/>
      <c r="BFD4" s="2"/>
      <c r="BFF4" s="2"/>
      <c r="BFH4" s="2"/>
      <c r="BFJ4" s="2"/>
      <c r="BFL4" s="2"/>
      <c r="BFN4" s="2"/>
      <c r="BFP4" s="2"/>
      <c r="BFR4" s="2"/>
      <c r="BFT4" s="2"/>
      <c r="BFV4" s="2"/>
      <c r="BFX4" s="2"/>
      <c r="BFZ4" s="2"/>
      <c r="BGB4" s="2"/>
      <c r="BGD4" s="2"/>
      <c r="BGF4" s="2"/>
      <c r="BGH4" s="2"/>
      <c r="BGJ4" s="2"/>
      <c r="BGL4" s="2"/>
      <c r="BGN4" s="2"/>
      <c r="BGP4" s="2"/>
      <c r="BGR4" s="2"/>
      <c r="BGT4" s="2"/>
      <c r="BGV4" s="2"/>
      <c r="BGX4" s="2"/>
      <c r="BGZ4" s="2"/>
      <c r="BHB4" s="2"/>
      <c r="BHD4" s="2"/>
      <c r="BHF4" s="2"/>
      <c r="BHH4" s="2"/>
      <c r="BHJ4" s="2"/>
      <c r="BHL4" s="2"/>
      <c r="BHN4" s="2"/>
      <c r="BHP4" s="2"/>
      <c r="BHR4" s="2"/>
      <c r="BHT4" s="2"/>
      <c r="BHV4" s="2"/>
      <c r="BHX4" s="2"/>
      <c r="BHZ4" s="2"/>
      <c r="BIB4" s="2"/>
      <c r="BID4" s="2"/>
      <c r="BIF4" s="2"/>
      <c r="BIH4" s="2"/>
      <c r="BIJ4" s="2"/>
      <c r="BIL4" s="2"/>
      <c r="BIN4" s="2"/>
      <c r="BIP4" s="2"/>
      <c r="BIR4" s="2"/>
      <c r="BIT4" s="2"/>
      <c r="BIV4" s="2"/>
      <c r="BIX4" s="2"/>
      <c r="BIZ4" s="2"/>
      <c r="BJB4" s="2"/>
      <c r="BJD4" s="2"/>
      <c r="BJF4" s="2"/>
      <c r="BJH4" s="2"/>
      <c r="BJJ4" s="2"/>
      <c r="BJL4" s="2"/>
      <c r="BJN4" s="2"/>
      <c r="BJP4" s="2"/>
      <c r="BJR4" s="2"/>
      <c r="BJT4" s="2"/>
      <c r="BJV4" s="2"/>
      <c r="BJX4" s="2"/>
      <c r="BJZ4" s="2"/>
      <c r="BKB4" s="2"/>
      <c r="BKD4" s="2"/>
      <c r="BKF4" s="2"/>
      <c r="BKH4" s="2"/>
      <c r="BKJ4" s="2"/>
      <c r="BKL4" s="2"/>
      <c r="BKN4" s="2"/>
      <c r="BKP4" s="2"/>
      <c r="BKR4" s="2"/>
      <c r="BKT4" s="2"/>
      <c r="BKV4" s="2"/>
      <c r="BKX4" s="2"/>
      <c r="BKZ4" s="2"/>
      <c r="BLB4" s="2"/>
      <c r="BLD4" s="2"/>
      <c r="BLF4" s="2"/>
      <c r="BLH4" s="2"/>
      <c r="BLJ4" s="2"/>
      <c r="BLL4" s="2"/>
      <c r="BLN4" s="2"/>
      <c r="BLP4" s="2"/>
      <c r="BLR4" s="2"/>
      <c r="BLT4" s="2"/>
      <c r="BLV4" s="2"/>
      <c r="BLX4" s="2"/>
      <c r="BLZ4" s="2"/>
      <c r="BMB4" s="2"/>
      <c r="BMD4" s="2"/>
      <c r="BMF4" s="2"/>
      <c r="BMH4" s="2"/>
      <c r="BMJ4" s="2"/>
      <c r="BML4" s="2"/>
      <c r="BMN4" s="2"/>
      <c r="BMP4" s="2"/>
      <c r="BMR4" s="2"/>
      <c r="BMT4" s="2"/>
      <c r="BMV4" s="2"/>
      <c r="BMX4" s="2"/>
      <c r="BMZ4" s="2"/>
      <c r="BNB4" s="2"/>
      <c r="BND4" s="2"/>
      <c r="BNF4" s="2"/>
      <c r="BNH4" s="2"/>
      <c r="BNJ4" s="2"/>
      <c r="BNL4" s="2"/>
      <c r="BNN4" s="2"/>
      <c r="BNP4" s="2"/>
      <c r="BNR4" s="2"/>
      <c r="BNT4" s="2"/>
      <c r="BNV4" s="2"/>
      <c r="BNX4" s="2"/>
      <c r="BNZ4" s="2"/>
      <c r="BOB4" s="2"/>
      <c r="BOD4" s="2"/>
      <c r="BOF4" s="2"/>
      <c r="BOH4" s="2"/>
      <c r="BOJ4" s="2"/>
      <c r="BOL4" s="2"/>
      <c r="BON4" s="2"/>
      <c r="BOP4" s="2"/>
      <c r="BOR4" s="2"/>
      <c r="BOT4" s="2"/>
      <c r="BOV4" s="2"/>
      <c r="BOX4" s="2"/>
      <c r="BOZ4" s="2"/>
      <c r="BPB4" s="2"/>
      <c r="BPD4" s="2"/>
      <c r="BPF4" s="2"/>
      <c r="BPH4" s="2"/>
      <c r="BPJ4" s="2"/>
      <c r="BPL4" s="2"/>
      <c r="BPN4" s="2"/>
      <c r="BPP4" s="2"/>
      <c r="BPR4" s="2"/>
      <c r="BPT4" s="2"/>
      <c r="BPV4" s="2"/>
      <c r="BPX4" s="2"/>
      <c r="BPZ4" s="2"/>
      <c r="BQB4" s="2"/>
      <c r="BQD4" s="2"/>
      <c r="BQF4" s="2"/>
      <c r="BQH4" s="2"/>
      <c r="BQJ4" s="2"/>
      <c r="BQL4" s="2"/>
      <c r="BQN4" s="2"/>
      <c r="BQP4" s="2"/>
      <c r="BQR4" s="2"/>
      <c r="BQT4" s="2"/>
      <c r="BQV4" s="2"/>
      <c r="BQX4" s="2"/>
      <c r="BQZ4" s="2"/>
      <c r="BRB4" s="2"/>
      <c r="BRD4" s="2"/>
      <c r="BRF4" s="2"/>
      <c r="BRH4" s="2"/>
      <c r="BRJ4" s="2"/>
      <c r="BRL4" s="2"/>
      <c r="BRN4" s="2"/>
      <c r="BRP4" s="2"/>
      <c r="BRR4" s="2"/>
      <c r="BRT4" s="2"/>
      <c r="BRV4" s="2"/>
      <c r="BRX4" s="2"/>
      <c r="BRZ4" s="2"/>
      <c r="BSB4" s="2"/>
      <c r="BSD4" s="2"/>
      <c r="BSF4" s="2"/>
      <c r="BSH4" s="2"/>
      <c r="BSJ4" s="2"/>
      <c r="BSL4" s="2"/>
      <c r="BSN4" s="2"/>
      <c r="BSP4" s="2"/>
      <c r="BSR4" s="2"/>
      <c r="BST4" s="2"/>
      <c r="BSV4" s="2"/>
      <c r="BSX4" s="2"/>
      <c r="BSZ4" s="2"/>
      <c r="BTB4" s="2"/>
      <c r="BTD4" s="2"/>
      <c r="BTF4" s="2"/>
      <c r="BTH4" s="2"/>
      <c r="BTJ4" s="2"/>
      <c r="BTL4" s="2"/>
      <c r="BTN4" s="2"/>
      <c r="BTP4" s="2"/>
      <c r="BTR4" s="2"/>
      <c r="BTT4" s="2"/>
      <c r="BTV4" s="2"/>
      <c r="BTX4" s="2"/>
      <c r="BTZ4" s="2"/>
      <c r="BUB4" s="2"/>
      <c r="BUD4" s="2"/>
      <c r="BUF4" s="2"/>
      <c r="BUH4" s="2"/>
      <c r="BUJ4" s="2"/>
      <c r="BUL4" s="2"/>
      <c r="BUN4" s="2"/>
      <c r="BUP4" s="2"/>
      <c r="BUR4" s="2"/>
      <c r="BUT4" s="2"/>
      <c r="BUV4" s="2"/>
      <c r="BUX4" s="2"/>
      <c r="BUZ4" s="2"/>
      <c r="BVB4" s="2"/>
      <c r="BVD4" s="2"/>
      <c r="BVF4" s="2"/>
      <c r="BVH4" s="2"/>
      <c r="BVJ4" s="2"/>
      <c r="BVL4" s="2"/>
      <c r="BVN4" s="2"/>
      <c r="BVP4" s="2"/>
      <c r="BVR4" s="2"/>
      <c r="BVT4" s="2"/>
      <c r="BVV4" s="2"/>
      <c r="BVX4" s="2"/>
      <c r="BVZ4" s="2"/>
      <c r="BWB4" s="2"/>
      <c r="BWD4" s="2"/>
      <c r="BWF4" s="2"/>
      <c r="BWH4" s="2"/>
      <c r="BWJ4" s="2"/>
      <c r="BWL4" s="2"/>
      <c r="BWN4" s="2"/>
      <c r="BWP4" s="2"/>
      <c r="BWR4" s="2"/>
      <c r="BWT4" s="2"/>
      <c r="BWV4" s="2"/>
      <c r="BWX4" s="2"/>
      <c r="BWZ4" s="2"/>
      <c r="BXB4" s="2"/>
      <c r="BXD4" s="2"/>
      <c r="BXF4" s="2"/>
      <c r="BXH4" s="2"/>
      <c r="BXJ4" s="2"/>
      <c r="BXL4" s="2"/>
      <c r="BXN4" s="2"/>
      <c r="BXP4" s="2"/>
      <c r="BXR4" s="2"/>
      <c r="BXT4" s="2"/>
      <c r="BXV4" s="2"/>
      <c r="BXX4" s="2"/>
      <c r="BXZ4" s="2"/>
      <c r="BYB4" s="2"/>
      <c r="BYD4" s="2"/>
      <c r="BYF4" s="2"/>
      <c r="BYH4" s="2"/>
      <c r="BYJ4" s="2"/>
      <c r="BYL4" s="2"/>
      <c r="BYN4" s="2"/>
      <c r="BYP4" s="2"/>
      <c r="BYR4" s="2"/>
      <c r="BYT4" s="2"/>
      <c r="BYV4" s="2"/>
      <c r="BYX4" s="2"/>
      <c r="BYZ4" s="2"/>
      <c r="BZB4" s="2"/>
      <c r="BZD4" s="2"/>
      <c r="BZF4" s="2"/>
      <c r="BZH4" s="2"/>
      <c r="BZJ4" s="2"/>
      <c r="BZL4" s="2"/>
      <c r="BZN4" s="2"/>
      <c r="BZP4" s="2"/>
      <c r="BZR4" s="2"/>
      <c r="BZT4" s="2"/>
      <c r="BZV4" s="2"/>
      <c r="BZX4" s="2"/>
      <c r="BZZ4" s="2"/>
      <c r="CAB4" s="2"/>
      <c r="CAD4" s="2"/>
      <c r="CAF4" s="2"/>
      <c r="CAH4" s="2"/>
      <c r="CAJ4" s="2"/>
      <c r="CAL4" s="2"/>
      <c r="CAN4" s="2"/>
      <c r="CAP4" s="2"/>
      <c r="CAR4" s="2"/>
      <c r="CAT4" s="2"/>
      <c r="CAV4" s="2"/>
      <c r="CAX4" s="2"/>
      <c r="CAZ4" s="2"/>
      <c r="CBB4" s="2"/>
      <c r="CBD4" s="2"/>
      <c r="CBF4" s="2"/>
      <c r="CBH4" s="2"/>
      <c r="CBJ4" s="2"/>
      <c r="CBL4" s="2"/>
      <c r="CBN4" s="2"/>
      <c r="CBP4" s="2"/>
      <c r="CBR4" s="2"/>
      <c r="CBT4" s="2"/>
      <c r="CBV4" s="2"/>
      <c r="CBX4" s="2"/>
      <c r="CBZ4" s="2"/>
      <c r="CCB4" s="2"/>
      <c r="CCD4" s="2"/>
      <c r="CCF4" s="2"/>
      <c r="CCH4" s="2"/>
      <c r="CCJ4" s="2"/>
      <c r="CCL4" s="2"/>
      <c r="CCN4" s="2"/>
      <c r="CCP4" s="2"/>
      <c r="CCR4" s="2"/>
      <c r="CCT4" s="2"/>
      <c r="CCV4" s="2"/>
      <c r="CCX4" s="2"/>
      <c r="CCZ4" s="2"/>
      <c r="CDB4" s="2"/>
      <c r="CDD4" s="2"/>
      <c r="CDF4" s="2"/>
      <c r="CDH4" s="2"/>
      <c r="CDJ4" s="2"/>
      <c r="CDL4" s="2"/>
      <c r="CDN4" s="2"/>
      <c r="CDP4" s="2"/>
      <c r="CDR4" s="2"/>
      <c r="CDT4" s="2"/>
      <c r="CDV4" s="2"/>
      <c r="CDX4" s="2"/>
      <c r="CDZ4" s="2"/>
      <c r="CEB4" s="2"/>
      <c r="CED4" s="2"/>
      <c r="CEF4" s="2"/>
      <c r="CEH4" s="2"/>
      <c r="CEJ4" s="2"/>
      <c r="CEL4" s="2"/>
      <c r="CEN4" s="2"/>
      <c r="CEP4" s="2"/>
      <c r="CER4" s="2"/>
      <c r="CET4" s="2"/>
      <c r="CEV4" s="2"/>
      <c r="CEX4" s="2"/>
      <c r="CEZ4" s="2"/>
      <c r="CFB4" s="2"/>
      <c r="CFD4" s="2"/>
      <c r="CFF4" s="2"/>
      <c r="CFH4" s="2"/>
      <c r="CFJ4" s="2"/>
      <c r="CFL4" s="2"/>
      <c r="CFN4" s="2"/>
      <c r="CFP4" s="2"/>
      <c r="CFR4" s="2"/>
      <c r="CFT4" s="2"/>
      <c r="CFV4" s="2"/>
      <c r="CFX4" s="2"/>
      <c r="CFZ4" s="2"/>
      <c r="CGB4" s="2"/>
      <c r="CGD4" s="2"/>
      <c r="CGF4" s="2"/>
      <c r="CGH4" s="2"/>
      <c r="CGJ4" s="2"/>
      <c r="CGL4" s="2"/>
      <c r="CGN4" s="2"/>
      <c r="CGP4" s="2"/>
      <c r="CGR4" s="2"/>
      <c r="CGT4" s="2"/>
      <c r="CGV4" s="2"/>
      <c r="CGX4" s="2"/>
      <c r="CGZ4" s="2"/>
      <c r="CHB4" s="2"/>
      <c r="CHD4" s="2"/>
      <c r="CHF4" s="2"/>
      <c r="CHH4" s="2"/>
      <c r="CHJ4" s="2"/>
      <c r="CHL4" s="2"/>
      <c r="CHN4" s="2"/>
      <c r="CHP4" s="2"/>
      <c r="CHR4" s="2"/>
      <c r="CHT4" s="2"/>
      <c r="CHV4" s="2"/>
      <c r="CHX4" s="2"/>
      <c r="CHZ4" s="2"/>
      <c r="CIB4" s="2"/>
      <c r="CID4" s="2"/>
      <c r="CIF4" s="2"/>
      <c r="CIH4" s="2"/>
      <c r="CIJ4" s="2"/>
      <c r="CIL4" s="2"/>
      <c r="CIN4" s="2"/>
      <c r="CIP4" s="2"/>
      <c r="CIR4" s="2"/>
      <c r="CIT4" s="2"/>
      <c r="CIV4" s="2"/>
      <c r="CIX4" s="2"/>
      <c r="CIZ4" s="2"/>
      <c r="CJB4" s="2"/>
      <c r="CJD4" s="2"/>
      <c r="CJF4" s="2"/>
      <c r="CJH4" s="2"/>
      <c r="CJJ4" s="2"/>
      <c r="CJL4" s="2"/>
      <c r="CJN4" s="2"/>
      <c r="CJP4" s="2"/>
      <c r="CJR4" s="2"/>
      <c r="CJT4" s="2"/>
      <c r="CJV4" s="2"/>
      <c r="CJX4" s="2"/>
      <c r="CJZ4" s="2"/>
      <c r="CKB4" s="2"/>
      <c r="CKD4" s="2"/>
      <c r="CKF4" s="2"/>
      <c r="CKH4" s="2"/>
      <c r="CKJ4" s="2"/>
      <c r="CKL4" s="2"/>
      <c r="CKN4" s="2"/>
      <c r="CKP4" s="2"/>
      <c r="CKR4" s="2"/>
      <c r="CKT4" s="2"/>
      <c r="CKV4" s="2"/>
      <c r="CKX4" s="2"/>
      <c r="CKZ4" s="2"/>
      <c r="CLB4" s="2"/>
      <c r="CLD4" s="2"/>
      <c r="CLF4" s="2"/>
      <c r="CLH4" s="2"/>
      <c r="CLJ4" s="2"/>
      <c r="CLL4" s="2"/>
      <c r="CLN4" s="2"/>
      <c r="CLP4" s="2"/>
      <c r="CLR4" s="2"/>
      <c r="CLT4" s="2"/>
      <c r="CLV4" s="2"/>
      <c r="CLX4" s="2"/>
      <c r="CLZ4" s="2"/>
      <c r="CMB4" s="2"/>
      <c r="CMD4" s="2"/>
      <c r="CMF4" s="2"/>
      <c r="CMH4" s="2"/>
      <c r="CMJ4" s="2"/>
      <c r="CML4" s="2"/>
      <c r="CMN4" s="2"/>
      <c r="CMP4" s="2"/>
      <c r="CMR4" s="2"/>
      <c r="CMT4" s="2"/>
      <c r="CMV4" s="2"/>
      <c r="CMX4" s="2"/>
      <c r="CMZ4" s="2"/>
      <c r="CNB4" s="2"/>
      <c r="CND4" s="2"/>
      <c r="CNF4" s="2"/>
      <c r="CNH4" s="2"/>
      <c r="CNJ4" s="2"/>
      <c r="CNL4" s="2"/>
      <c r="CNN4" s="2"/>
      <c r="CNP4" s="2"/>
      <c r="CNR4" s="2"/>
      <c r="CNT4" s="2"/>
      <c r="CNV4" s="2"/>
      <c r="CNX4" s="2"/>
      <c r="CNZ4" s="2"/>
      <c r="COB4" s="2"/>
      <c r="COD4" s="2"/>
      <c r="COF4" s="2"/>
      <c r="COH4" s="2"/>
      <c r="COJ4" s="2"/>
      <c r="COL4" s="2"/>
      <c r="CON4" s="2"/>
      <c r="COP4" s="2"/>
      <c r="COR4" s="2"/>
      <c r="COT4" s="2"/>
      <c r="COV4" s="2"/>
      <c r="COX4" s="2"/>
      <c r="COZ4" s="2"/>
      <c r="CPB4" s="2"/>
      <c r="CPD4" s="2"/>
      <c r="CPF4" s="2"/>
      <c r="CPH4" s="2"/>
      <c r="CPJ4" s="2"/>
      <c r="CPL4" s="2"/>
      <c r="CPN4" s="2"/>
      <c r="CPP4" s="2"/>
      <c r="CPR4" s="2"/>
      <c r="CPT4" s="2"/>
      <c r="CPV4" s="2"/>
      <c r="CPX4" s="2"/>
      <c r="CPZ4" s="2"/>
      <c r="CQB4" s="2"/>
      <c r="CQD4" s="2"/>
      <c r="CQF4" s="2"/>
      <c r="CQH4" s="2"/>
      <c r="CQJ4" s="2"/>
      <c r="CQL4" s="2"/>
      <c r="CQN4" s="2"/>
      <c r="CQP4" s="2"/>
      <c r="CQR4" s="2"/>
      <c r="CQT4" s="2"/>
      <c r="CQV4" s="2"/>
      <c r="CQX4" s="2"/>
      <c r="CQZ4" s="2"/>
      <c r="CRB4" s="2"/>
      <c r="CRD4" s="2"/>
      <c r="CRF4" s="2"/>
      <c r="CRH4" s="2"/>
      <c r="CRJ4" s="2"/>
      <c r="CRL4" s="2"/>
      <c r="CRN4" s="2"/>
      <c r="CRP4" s="2"/>
      <c r="CRR4" s="2"/>
      <c r="CRT4" s="2"/>
      <c r="CRV4" s="2"/>
      <c r="CRX4" s="2"/>
      <c r="CRZ4" s="2"/>
      <c r="CSB4" s="2"/>
      <c r="CSD4" s="2"/>
      <c r="CSF4" s="2"/>
      <c r="CSH4" s="2"/>
      <c r="CSJ4" s="2"/>
      <c r="CSL4" s="2"/>
      <c r="CSN4" s="2"/>
      <c r="CSP4" s="2"/>
      <c r="CSR4" s="2"/>
      <c r="CST4" s="2"/>
      <c r="CSV4" s="2"/>
      <c r="CSX4" s="2"/>
      <c r="CSZ4" s="2"/>
      <c r="CTB4" s="2"/>
      <c r="CTD4" s="2"/>
      <c r="CTF4" s="2"/>
      <c r="CTH4" s="2"/>
      <c r="CTJ4" s="2"/>
      <c r="CTL4" s="2"/>
      <c r="CTN4" s="2"/>
      <c r="CTP4" s="2"/>
      <c r="CTR4" s="2"/>
      <c r="CTT4" s="2"/>
      <c r="CTV4" s="2"/>
      <c r="CTX4" s="2"/>
      <c r="CTZ4" s="2"/>
      <c r="CUB4" s="2"/>
      <c r="CUD4" s="2"/>
      <c r="CUF4" s="2"/>
      <c r="CUH4" s="2"/>
      <c r="CUJ4" s="2"/>
      <c r="CUL4" s="2"/>
      <c r="CUN4" s="2"/>
      <c r="CUP4" s="2"/>
      <c r="CUR4" s="2"/>
      <c r="CUT4" s="2"/>
      <c r="CUV4" s="2"/>
      <c r="CUX4" s="2"/>
      <c r="CUZ4" s="2"/>
      <c r="CVB4" s="2"/>
      <c r="CVD4" s="2"/>
      <c r="CVF4" s="2"/>
      <c r="CVH4" s="2"/>
      <c r="CVJ4" s="2"/>
      <c r="CVL4" s="2"/>
      <c r="CVN4" s="2"/>
      <c r="CVP4" s="2"/>
      <c r="CVR4" s="2"/>
      <c r="CVT4" s="2"/>
      <c r="CVV4" s="2"/>
      <c r="CVX4" s="2"/>
      <c r="CVZ4" s="2"/>
      <c r="CWB4" s="2"/>
      <c r="CWD4" s="2"/>
      <c r="CWF4" s="2"/>
      <c r="CWH4" s="2"/>
      <c r="CWJ4" s="2"/>
      <c r="CWL4" s="2"/>
      <c r="CWN4" s="2"/>
      <c r="CWP4" s="2"/>
      <c r="CWR4" s="2"/>
      <c r="CWT4" s="2"/>
      <c r="CWV4" s="2"/>
      <c r="CWX4" s="2"/>
      <c r="CWZ4" s="2"/>
      <c r="CXB4" s="2"/>
      <c r="CXD4" s="2"/>
      <c r="CXF4" s="2"/>
      <c r="CXH4" s="2"/>
      <c r="CXJ4" s="2"/>
      <c r="CXL4" s="2"/>
      <c r="CXN4" s="2"/>
      <c r="CXP4" s="2"/>
      <c r="CXR4" s="2"/>
      <c r="CXT4" s="2"/>
      <c r="CXV4" s="2"/>
      <c r="CXX4" s="2"/>
      <c r="CXZ4" s="2"/>
      <c r="CYB4" s="2"/>
      <c r="CYD4" s="2"/>
      <c r="CYF4" s="2"/>
      <c r="CYH4" s="2"/>
      <c r="CYJ4" s="2"/>
      <c r="CYL4" s="2"/>
      <c r="CYN4" s="2"/>
      <c r="CYP4" s="2"/>
      <c r="CYR4" s="2"/>
      <c r="CYT4" s="2"/>
      <c r="CYV4" s="2"/>
      <c r="CYX4" s="2"/>
      <c r="CYZ4" s="2"/>
      <c r="CZB4" s="2"/>
      <c r="CZD4" s="2"/>
      <c r="CZF4" s="2"/>
      <c r="CZH4" s="2"/>
      <c r="CZJ4" s="2"/>
      <c r="CZL4" s="2"/>
      <c r="CZN4" s="2"/>
      <c r="CZP4" s="2"/>
      <c r="CZR4" s="2"/>
      <c r="CZT4" s="2"/>
      <c r="CZV4" s="2"/>
      <c r="CZX4" s="2"/>
      <c r="CZZ4" s="2"/>
      <c r="DAB4" s="2"/>
      <c r="DAD4" s="2"/>
      <c r="DAF4" s="2"/>
      <c r="DAH4" s="2"/>
      <c r="DAJ4" s="2"/>
      <c r="DAL4" s="2"/>
      <c r="DAN4" s="2"/>
      <c r="DAP4" s="2"/>
      <c r="DAR4" s="2"/>
      <c r="DAT4" s="2"/>
      <c r="DAV4" s="2"/>
      <c r="DAX4" s="2"/>
      <c r="DAZ4" s="2"/>
      <c r="DBB4" s="2"/>
      <c r="DBD4" s="2"/>
      <c r="DBF4" s="2"/>
      <c r="DBH4" s="2"/>
      <c r="DBJ4" s="2"/>
      <c r="DBL4" s="2"/>
      <c r="DBN4" s="2"/>
      <c r="DBP4" s="2"/>
      <c r="DBR4" s="2"/>
      <c r="DBT4" s="2"/>
      <c r="DBV4" s="2"/>
      <c r="DBX4" s="2"/>
      <c r="DBZ4" s="2"/>
      <c r="DCB4" s="2"/>
      <c r="DCD4" s="2"/>
      <c r="DCF4" s="2"/>
      <c r="DCH4" s="2"/>
      <c r="DCJ4" s="2"/>
      <c r="DCL4" s="2"/>
      <c r="DCN4" s="2"/>
      <c r="DCP4" s="2"/>
      <c r="DCR4" s="2"/>
      <c r="DCT4" s="2"/>
      <c r="DCV4" s="2"/>
      <c r="DCX4" s="2"/>
      <c r="DCZ4" s="2"/>
      <c r="DDB4" s="2"/>
      <c r="DDD4" s="2"/>
      <c r="DDF4" s="2"/>
      <c r="DDH4" s="2"/>
      <c r="DDJ4" s="2"/>
      <c r="DDL4" s="2"/>
      <c r="DDN4" s="2"/>
      <c r="DDP4" s="2"/>
      <c r="DDR4" s="2"/>
      <c r="DDT4" s="2"/>
      <c r="DDV4" s="2"/>
      <c r="DDX4" s="2"/>
      <c r="DDZ4" s="2"/>
      <c r="DEB4" s="2"/>
      <c r="DED4" s="2"/>
      <c r="DEF4" s="2"/>
      <c r="DEH4" s="2"/>
      <c r="DEJ4" s="2"/>
      <c r="DEL4" s="2"/>
      <c r="DEN4" s="2"/>
      <c r="DEP4" s="2"/>
      <c r="DER4" s="2"/>
      <c r="DET4" s="2"/>
      <c r="DEV4" s="2"/>
      <c r="DEX4" s="2"/>
      <c r="DEZ4" s="2"/>
      <c r="DFB4" s="2"/>
      <c r="DFD4" s="2"/>
      <c r="DFF4" s="2"/>
      <c r="DFH4" s="2"/>
      <c r="DFJ4" s="2"/>
      <c r="DFL4" s="2"/>
      <c r="DFN4" s="2"/>
      <c r="DFP4" s="2"/>
      <c r="DFR4" s="2"/>
      <c r="DFT4" s="2"/>
      <c r="DFV4" s="2"/>
      <c r="DFX4" s="2"/>
      <c r="DFZ4" s="2"/>
      <c r="DGB4" s="2"/>
      <c r="DGD4" s="2"/>
      <c r="DGF4" s="2"/>
      <c r="DGH4" s="2"/>
      <c r="DGJ4" s="2"/>
      <c r="DGL4" s="2"/>
      <c r="DGN4" s="2"/>
      <c r="DGP4" s="2"/>
      <c r="DGR4" s="2"/>
      <c r="DGT4" s="2"/>
      <c r="DGV4" s="2"/>
      <c r="DGX4" s="2"/>
      <c r="DGZ4" s="2"/>
      <c r="DHB4" s="2"/>
      <c r="DHD4" s="2"/>
      <c r="DHF4" s="2"/>
      <c r="DHH4" s="2"/>
      <c r="DHJ4" s="2"/>
      <c r="DHL4" s="2"/>
      <c r="DHN4" s="2"/>
      <c r="DHP4" s="2"/>
      <c r="DHR4" s="2"/>
      <c r="DHT4" s="2"/>
      <c r="DHV4" s="2"/>
      <c r="DHX4" s="2"/>
      <c r="DHZ4" s="2"/>
      <c r="DIB4" s="2"/>
      <c r="DID4" s="2"/>
      <c r="DIF4" s="2"/>
      <c r="DIH4" s="2"/>
      <c r="DIJ4" s="2"/>
      <c r="DIL4" s="2"/>
      <c r="DIN4" s="2"/>
      <c r="DIP4" s="2"/>
      <c r="DIR4" s="2"/>
      <c r="DIT4" s="2"/>
      <c r="DIV4" s="2"/>
      <c r="DIX4" s="2"/>
      <c r="DIZ4" s="2"/>
      <c r="DJB4" s="2"/>
      <c r="DJD4" s="2"/>
      <c r="DJF4" s="2"/>
      <c r="DJH4" s="2"/>
      <c r="DJJ4" s="2"/>
      <c r="DJL4" s="2"/>
      <c r="DJN4" s="2"/>
      <c r="DJP4" s="2"/>
      <c r="DJR4" s="2"/>
      <c r="DJT4" s="2"/>
      <c r="DJV4" s="2"/>
      <c r="DJX4" s="2"/>
      <c r="DJZ4" s="2"/>
      <c r="DKB4" s="2"/>
      <c r="DKD4" s="2"/>
      <c r="DKF4" s="2"/>
      <c r="DKH4" s="2"/>
      <c r="DKJ4" s="2"/>
      <c r="DKL4" s="2"/>
      <c r="DKN4" s="2"/>
      <c r="DKP4" s="2"/>
      <c r="DKR4" s="2"/>
      <c r="DKT4" s="2"/>
      <c r="DKV4" s="2"/>
      <c r="DKX4" s="2"/>
      <c r="DKZ4" s="2"/>
      <c r="DLB4" s="2"/>
      <c r="DLD4" s="2"/>
      <c r="DLF4" s="2"/>
      <c r="DLH4" s="2"/>
      <c r="DLJ4" s="2"/>
      <c r="DLL4" s="2"/>
      <c r="DLN4" s="2"/>
      <c r="DLP4" s="2"/>
      <c r="DLR4" s="2"/>
      <c r="DLT4" s="2"/>
      <c r="DLV4" s="2"/>
      <c r="DLX4" s="2"/>
      <c r="DLZ4" s="2"/>
      <c r="DMB4" s="2"/>
      <c r="DMD4" s="2"/>
      <c r="DMF4" s="2"/>
      <c r="DMH4" s="2"/>
      <c r="DMJ4" s="2"/>
      <c r="DML4" s="2"/>
      <c r="DMN4" s="2"/>
      <c r="DMP4" s="2"/>
      <c r="DMR4" s="2"/>
      <c r="DMT4" s="2"/>
      <c r="DMV4" s="2"/>
      <c r="DMX4" s="2"/>
      <c r="DMZ4" s="2"/>
      <c r="DNB4" s="2"/>
      <c r="DND4" s="2"/>
      <c r="DNF4" s="2"/>
      <c r="DNH4" s="2"/>
      <c r="DNJ4" s="2"/>
      <c r="DNL4" s="2"/>
      <c r="DNN4" s="2"/>
      <c r="DNP4" s="2"/>
      <c r="DNR4" s="2"/>
      <c r="DNT4" s="2"/>
      <c r="DNV4" s="2"/>
      <c r="DNX4" s="2"/>
      <c r="DNZ4" s="2"/>
      <c r="DOB4" s="2"/>
      <c r="DOD4" s="2"/>
      <c r="DOF4" s="2"/>
      <c r="DOH4" s="2"/>
      <c r="DOJ4" s="2"/>
      <c r="DOL4" s="2"/>
      <c r="DON4" s="2"/>
      <c r="DOP4" s="2"/>
      <c r="DOR4" s="2"/>
      <c r="DOT4" s="2"/>
      <c r="DOV4" s="2"/>
      <c r="DOX4" s="2"/>
      <c r="DOZ4" s="2"/>
      <c r="DPB4" s="2"/>
      <c r="DPD4" s="2"/>
      <c r="DPF4" s="2"/>
      <c r="DPH4" s="2"/>
      <c r="DPJ4" s="2"/>
      <c r="DPL4" s="2"/>
      <c r="DPN4" s="2"/>
      <c r="DPP4" s="2"/>
      <c r="DPR4" s="2"/>
      <c r="DPT4" s="2"/>
      <c r="DPV4" s="2"/>
      <c r="DPX4" s="2"/>
      <c r="DPZ4" s="2"/>
      <c r="DQB4" s="2"/>
      <c r="DQD4" s="2"/>
      <c r="DQF4" s="2"/>
      <c r="DQH4" s="2"/>
      <c r="DQJ4" s="2"/>
      <c r="DQL4" s="2"/>
      <c r="DQN4" s="2"/>
      <c r="DQP4" s="2"/>
      <c r="DQR4" s="2"/>
      <c r="DQT4" s="2"/>
      <c r="DQV4" s="2"/>
      <c r="DQX4" s="2"/>
      <c r="DQZ4" s="2"/>
      <c r="DRB4" s="2"/>
      <c r="DRD4" s="2"/>
      <c r="DRF4" s="2"/>
      <c r="DRH4" s="2"/>
      <c r="DRJ4" s="2"/>
      <c r="DRL4" s="2"/>
      <c r="DRN4" s="2"/>
      <c r="DRP4" s="2"/>
      <c r="DRR4" s="2"/>
      <c r="DRT4" s="2"/>
      <c r="DRV4" s="2"/>
      <c r="DRX4" s="2"/>
      <c r="DRZ4" s="2"/>
      <c r="DSB4" s="2"/>
      <c r="DSD4" s="2"/>
      <c r="DSF4" s="2"/>
      <c r="DSH4" s="2"/>
      <c r="DSJ4" s="2"/>
      <c r="DSL4" s="2"/>
      <c r="DSN4" s="2"/>
      <c r="DSP4" s="2"/>
      <c r="DSR4" s="2"/>
      <c r="DST4" s="2"/>
      <c r="DSV4" s="2"/>
      <c r="DSX4" s="2"/>
      <c r="DSZ4" s="2"/>
      <c r="DTB4" s="2"/>
      <c r="DTD4" s="2"/>
      <c r="DTF4" s="2"/>
      <c r="DTH4" s="2"/>
      <c r="DTJ4" s="2"/>
      <c r="DTL4" s="2"/>
      <c r="DTN4" s="2"/>
      <c r="DTP4" s="2"/>
      <c r="DTR4" s="2"/>
      <c r="DTT4" s="2"/>
      <c r="DTV4" s="2"/>
      <c r="DTX4" s="2"/>
      <c r="DTZ4" s="2"/>
      <c r="DUB4" s="2"/>
      <c r="DUD4" s="2"/>
      <c r="DUF4" s="2"/>
      <c r="DUH4" s="2"/>
      <c r="DUJ4" s="2"/>
      <c r="DUL4" s="2"/>
      <c r="DUN4" s="2"/>
      <c r="DUP4" s="2"/>
      <c r="DUR4" s="2"/>
      <c r="DUT4" s="2"/>
      <c r="DUV4" s="2"/>
      <c r="DUX4" s="2"/>
      <c r="DUZ4" s="2"/>
      <c r="DVB4" s="2"/>
      <c r="DVD4" s="2"/>
      <c r="DVF4" s="2"/>
      <c r="DVH4" s="2"/>
      <c r="DVJ4" s="2"/>
      <c r="DVL4" s="2"/>
      <c r="DVN4" s="2"/>
      <c r="DVP4" s="2"/>
      <c r="DVR4" s="2"/>
      <c r="DVT4" s="2"/>
      <c r="DVV4" s="2"/>
      <c r="DVX4" s="2"/>
      <c r="DVZ4" s="2"/>
      <c r="DWB4" s="2"/>
      <c r="DWD4" s="2"/>
      <c r="DWF4" s="2"/>
      <c r="DWH4" s="2"/>
      <c r="DWJ4" s="2"/>
      <c r="DWL4" s="2"/>
      <c r="DWN4" s="2"/>
      <c r="DWP4" s="2"/>
      <c r="DWR4" s="2"/>
      <c r="DWT4" s="2"/>
      <c r="DWV4" s="2"/>
      <c r="DWX4" s="2"/>
      <c r="DWZ4" s="2"/>
      <c r="DXB4" s="2"/>
      <c r="DXD4" s="2"/>
      <c r="DXF4" s="2"/>
      <c r="DXH4" s="2"/>
      <c r="DXJ4" s="2"/>
      <c r="DXL4" s="2"/>
      <c r="DXN4" s="2"/>
      <c r="DXP4" s="2"/>
      <c r="DXR4" s="2"/>
      <c r="DXT4" s="2"/>
      <c r="DXV4" s="2"/>
      <c r="DXX4" s="2"/>
      <c r="DXZ4" s="2"/>
      <c r="DYB4" s="2"/>
      <c r="DYD4" s="2"/>
      <c r="DYF4" s="2"/>
      <c r="DYH4" s="2"/>
      <c r="DYJ4" s="2"/>
      <c r="DYL4" s="2"/>
      <c r="DYN4" s="2"/>
      <c r="DYP4" s="2"/>
      <c r="DYR4" s="2"/>
      <c r="DYT4" s="2"/>
      <c r="DYV4" s="2"/>
      <c r="DYX4" s="2"/>
      <c r="DYZ4" s="2"/>
      <c r="DZB4" s="2"/>
      <c r="DZD4" s="2"/>
      <c r="DZF4" s="2"/>
      <c r="DZH4" s="2"/>
      <c r="DZJ4" s="2"/>
      <c r="DZL4" s="2"/>
      <c r="DZN4" s="2"/>
      <c r="DZP4" s="2"/>
      <c r="DZR4" s="2"/>
      <c r="DZT4" s="2"/>
      <c r="DZV4" s="2"/>
      <c r="DZX4" s="2"/>
      <c r="DZZ4" s="2"/>
      <c r="EAB4" s="2"/>
      <c r="EAD4" s="2"/>
      <c r="EAF4" s="2"/>
      <c r="EAH4" s="2"/>
      <c r="EAJ4" s="2"/>
      <c r="EAL4" s="2"/>
      <c r="EAN4" s="2"/>
      <c r="EAP4" s="2"/>
      <c r="EAR4" s="2"/>
      <c r="EAT4" s="2"/>
      <c r="EAV4" s="2"/>
      <c r="EAX4" s="2"/>
      <c r="EAZ4" s="2"/>
      <c r="EBB4" s="2"/>
      <c r="EBD4" s="2"/>
      <c r="EBF4" s="2"/>
      <c r="EBH4" s="2"/>
      <c r="EBJ4" s="2"/>
      <c r="EBL4" s="2"/>
      <c r="EBN4" s="2"/>
      <c r="EBP4" s="2"/>
      <c r="EBR4" s="2"/>
      <c r="EBT4" s="2"/>
      <c r="EBV4" s="2"/>
      <c r="EBX4" s="2"/>
      <c r="EBZ4" s="2"/>
      <c r="ECB4" s="2"/>
      <c r="ECD4" s="2"/>
      <c r="ECF4" s="2"/>
      <c r="ECH4" s="2"/>
      <c r="ECJ4" s="2"/>
      <c r="ECL4" s="2"/>
      <c r="ECN4" s="2"/>
      <c r="ECP4" s="2"/>
      <c r="ECR4" s="2"/>
      <c r="ECT4" s="2"/>
      <c r="ECV4" s="2"/>
      <c r="ECX4" s="2"/>
      <c r="ECZ4" s="2"/>
      <c r="EDB4" s="2"/>
      <c r="EDD4" s="2"/>
      <c r="EDF4" s="2"/>
      <c r="EDH4" s="2"/>
      <c r="EDJ4" s="2"/>
      <c r="EDL4" s="2"/>
      <c r="EDN4" s="2"/>
      <c r="EDP4" s="2"/>
      <c r="EDR4" s="2"/>
      <c r="EDT4" s="2"/>
      <c r="EDV4" s="2"/>
      <c r="EDX4" s="2"/>
      <c r="EDZ4" s="2"/>
      <c r="EEB4" s="2"/>
      <c r="EED4" s="2"/>
      <c r="EEF4" s="2"/>
      <c r="EEH4" s="2"/>
      <c r="EEJ4" s="2"/>
      <c r="EEL4" s="2"/>
      <c r="EEN4" s="2"/>
      <c r="EEP4" s="2"/>
      <c r="EER4" s="2"/>
      <c r="EET4" s="2"/>
      <c r="EEV4" s="2"/>
      <c r="EEX4" s="2"/>
      <c r="EEZ4" s="2"/>
      <c r="EFB4" s="2"/>
      <c r="EFD4" s="2"/>
      <c r="EFF4" s="2"/>
      <c r="EFH4" s="2"/>
      <c r="EFJ4" s="2"/>
      <c r="EFL4" s="2"/>
      <c r="EFN4" s="2"/>
      <c r="EFP4" s="2"/>
      <c r="EFR4" s="2"/>
      <c r="EFT4" s="2"/>
      <c r="EFV4" s="2"/>
      <c r="EFX4" s="2"/>
      <c r="EFZ4" s="2"/>
      <c r="EGB4" s="2"/>
      <c r="EGD4" s="2"/>
      <c r="EGF4" s="2"/>
      <c r="EGH4" s="2"/>
      <c r="EGJ4" s="2"/>
      <c r="EGL4" s="2"/>
      <c r="EGN4" s="2"/>
      <c r="EGP4" s="2"/>
      <c r="EGR4" s="2"/>
      <c r="EGT4" s="2"/>
      <c r="EGV4" s="2"/>
      <c r="EGX4" s="2"/>
      <c r="EGZ4" s="2"/>
      <c r="EHB4" s="2"/>
      <c r="EHD4" s="2"/>
      <c r="EHF4" s="2"/>
      <c r="EHH4" s="2"/>
      <c r="EHJ4" s="2"/>
      <c r="EHL4" s="2"/>
      <c r="EHN4" s="2"/>
      <c r="EHP4" s="2"/>
      <c r="EHR4" s="2"/>
      <c r="EHT4" s="2"/>
      <c r="EHV4" s="2"/>
      <c r="EHX4" s="2"/>
      <c r="EHZ4" s="2"/>
      <c r="EIB4" s="2"/>
      <c r="EID4" s="2"/>
      <c r="EIF4" s="2"/>
      <c r="EIH4" s="2"/>
      <c r="EIJ4" s="2"/>
      <c r="EIL4" s="2"/>
      <c r="EIN4" s="2"/>
      <c r="EIP4" s="2"/>
      <c r="EIR4" s="2"/>
      <c r="EIT4" s="2"/>
      <c r="EIV4" s="2"/>
      <c r="EIX4" s="2"/>
      <c r="EIZ4" s="2"/>
      <c r="EJB4" s="2"/>
      <c r="EJD4" s="2"/>
      <c r="EJF4" s="2"/>
      <c r="EJH4" s="2"/>
      <c r="EJJ4" s="2"/>
      <c r="EJL4" s="2"/>
      <c r="EJN4" s="2"/>
      <c r="EJP4" s="2"/>
      <c r="EJR4" s="2"/>
      <c r="EJT4" s="2"/>
      <c r="EJV4" s="2"/>
      <c r="EJX4" s="2"/>
      <c r="EJZ4" s="2"/>
      <c r="EKB4" s="2"/>
      <c r="EKD4" s="2"/>
      <c r="EKF4" s="2"/>
      <c r="EKH4" s="2"/>
      <c r="EKJ4" s="2"/>
      <c r="EKL4" s="2"/>
      <c r="EKN4" s="2"/>
      <c r="EKP4" s="2"/>
      <c r="EKR4" s="2"/>
      <c r="EKT4" s="2"/>
      <c r="EKV4" s="2"/>
      <c r="EKX4" s="2"/>
      <c r="EKZ4" s="2"/>
      <c r="ELB4" s="2"/>
      <c r="ELD4" s="2"/>
      <c r="ELF4" s="2"/>
      <c r="ELH4" s="2"/>
      <c r="ELJ4" s="2"/>
      <c r="ELL4" s="2"/>
      <c r="ELN4" s="2"/>
      <c r="ELP4" s="2"/>
      <c r="ELR4" s="2"/>
      <c r="ELT4" s="2"/>
      <c r="ELV4" s="2"/>
      <c r="ELX4" s="2"/>
      <c r="ELZ4" s="2"/>
      <c r="EMB4" s="2"/>
      <c r="EMD4" s="2"/>
      <c r="EMF4" s="2"/>
      <c r="EMH4" s="2"/>
      <c r="EMJ4" s="2"/>
      <c r="EML4" s="2"/>
      <c r="EMN4" s="2"/>
      <c r="EMP4" s="2"/>
      <c r="EMR4" s="2"/>
      <c r="EMT4" s="2"/>
      <c r="EMV4" s="2"/>
      <c r="EMX4" s="2"/>
      <c r="EMZ4" s="2"/>
      <c r="ENB4" s="2"/>
      <c r="END4" s="2"/>
      <c r="ENF4" s="2"/>
      <c r="ENH4" s="2"/>
      <c r="ENJ4" s="2"/>
      <c r="ENL4" s="2"/>
      <c r="ENN4" s="2"/>
      <c r="ENP4" s="2"/>
      <c r="ENR4" s="2"/>
      <c r="ENT4" s="2"/>
      <c r="ENV4" s="2"/>
      <c r="ENX4" s="2"/>
      <c r="ENZ4" s="2"/>
      <c r="EOB4" s="2"/>
      <c r="EOD4" s="2"/>
      <c r="EOF4" s="2"/>
      <c r="EOH4" s="2"/>
      <c r="EOJ4" s="2"/>
      <c r="EOL4" s="2"/>
      <c r="EON4" s="2"/>
      <c r="EOP4" s="2"/>
      <c r="EOR4" s="2"/>
      <c r="EOT4" s="2"/>
      <c r="EOV4" s="2"/>
      <c r="EOX4" s="2"/>
      <c r="EOZ4" s="2"/>
      <c r="EPB4" s="2"/>
      <c r="EPD4" s="2"/>
      <c r="EPF4" s="2"/>
      <c r="EPH4" s="2"/>
      <c r="EPJ4" s="2"/>
      <c r="EPL4" s="2"/>
      <c r="EPN4" s="2"/>
      <c r="EPP4" s="2"/>
      <c r="EPR4" s="2"/>
      <c r="EPT4" s="2"/>
      <c r="EPV4" s="2"/>
      <c r="EPX4" s="2"/>
      <c r="EPZ4" s="2"/>
      <c r="EQB4" s="2"/>
      <c r="EQD4" s="2"/>
      <c r="EQF4" s="2"/>
      <c r="EQH4" s="2"/>
      <c r="EQJ4" s="2"/>
      <c r="EQL4" s="2"/>
      <c r="EQN4" s="2"/>
      <c r="EQP4" s="2"/>
      <c r="EQR4" s="2"/>
      <c r="EQT4" s="2"/>
      <c r="EQV4" s="2"/>
      <c r="EQX4" s="2"/>
      <c r="EQZ4" s="2"/>
      <c r="ERB4" s="2"/>
      <c r="ERD4" s="2"/>
      <c r="ERF4" s="2"/>
      <c r="ERH4" s="2"/>
      <c r="ERJ4" s="2"/>
      <c r="ERL4" s="2"/>
      <c r="ERN4" s="2"/>
      <c r="ERP4" s="2"/>
      <c r="ERR4" s="2"/>
      <c r="ERT4" s="2"/>
      <c r="ERV4" s="2"/>
      <c r="ERX4" s="2"/>
      <c r="ERZ4" s="2"/>
      <c r="ESB4" s="2"/>
      <c r="ESD4" s="2"/>
      <c r="ESF4" s="2"/>
      <c r="ESH4" s="2"/>
      <c r="ESJ4" s="2"/>
      <c r="ESL4" s="2"/>
      <c r="ESN4" s="2"/>
      <c r="ESP4" s="2"/>
      <c r="ESR4" s="2"/>
      <c r="EST4" s="2"/>
      <c r="ESV4" s="2"/>
      <c r="ESX4" s="2"/>
      <c r="ESZ4" s="2"/>
      <c r="ETB4" s="2"/>
      <c r="ETD4" s="2"/>
      <c r="ETF4" s="2"/>
      <c r="ETH4" s="2"/>
      <c r="ETJ4" s="2"/>
      <c r="ETL4" s="2"/>
      <c r="ETN4" s="2"/>
      <c r="ETP4" s="2"/>
      <c r="ETR4" s="2"/>
      <c r="ETT4" s="2"/>
      <c r="ETV4" s="2"/>
      <c r="ETX4" s="2"/>
      <c r="ETZ4" s="2"/>
      <c r="EUB4" s="2"/>
      <c r="EUD4" s="2"/>
      <c r="EUF4" s="2"/>
      <c r="EUH4" s="2"/>
      <c r="EUJ4" s="2"/>
      <c r="EUL4" s="2"/>
      <c r="EUN4" s="2"/>
      <c r="EUP4" s="2"/>
      <c r="EUR4" s="2"/>
      <c r="EUT4" s="2"/>
      <c r="EUV4" s="2"/>
      <c r="EUX4" s="2"/>
      <c r="EUZ4" s="2"/>
      <c r="EVB4" s="2"/>
      <c r="EVD4" s="2"/>
      <c r="EVF4" s="2"/>
      <c r="EVH4" s="2"/>
      <c r="EVJ4" s="2"/>
      <c r="EVL4" s="2"/>
      <c r="EVN4" s="2"/>
      <c r="EVP4" s="2"/>
      <c r="EVR4" s="2"/>
      <c r="EVT4" s="2"/>
      <c r="EVV4" s="2"/>
      <c r="EVX4" s="2"/>
      <c r="EVZ4" s="2"/>
      <c r="EWB4" s="2"/>
      <c r="EWD4" s="2"/>
      <c r="EWF4" s="2"/>
      <c r="EWH4" s="2"/>
      <c r="EWJ4" s="2"/>
      <c r="EWL4" s="2"/>
      <c r="EWN4" s="2"/>
      <c r="EWP4" s="2"/>
      <c r="EWR4" s="2"/>
      <c r="EWT4" s="2"/>
      <c r="EWV4" s="2"/>
      <c r="EWX4" s="2"/>
      <c r="EWZ4" s="2"/>
      <c r="EXB4" s="2"/>
      <c r="EXD4" s="2"/>
      <c r="EXF4" s="2"/>
      <c r="EXH4" s="2"/>
      <c r="EXJ4" s="2"/>
      <c r="EXL4" s="2"/>
      <c r="EXN4" s="2"/>
      <c r="EXP4" s="2"/>
      <c r="EXR4" s="2"/>
      <c r="EXT4" s="2"/>
      <c r="EXV4" s="2"/>
      <c r="EXX4" s="2"/>
      <c r="EXZ4" s="2"/>
      <c r="EYB4" s="2"/>
      <c r="EYD4" s="2"/>
      <c r="EYF4" s="2"/>
      <c r="EYH4" s="2"/>
      <c r="EYJ4" s="2"/>
      <c r="EYL4" s="2"/>
      <c r="EYN4" s="2"/>
      <c r="EYP4" s="2"/>
      <c r="EYR4" s="2"/>
      <c r="EYT4" s="2"/>
      <c r="EYV4" s="2"/>
      <c r="EYX4" s="2"/>
      <c r="EYZ4" s="2"/>
      <c r="EZB4" s="2"/>
      <c r="EZD4" s="2"/>
      <c r="EZF4" s="2"/>
      <c r="EZH4" s="2"/>
      <c r="EZJ4" s="2"/>
      <c r="EZL4" s="2"/>
      <c r="EZN4" s="2"/>
      <c r="EZP4" s="2"/>
      <c r="EZR4" s="2"/>
      <c r="EZT4" s="2"/>
      <c r="EZV4" s="2"/>
      <c r="EZX4" s="2"/>
      <c r="EZZ4" s="2"/>
      <c r="FAB4" s="2"/>
      <c r="FAD4" s="2"/>
      <c r="FAF4" s="2"/>
      <c r="FAH4" s="2"/>
      <c r="FAJ4" s="2"/>
      <c r="FAL4" s="2"/>
      <c r="FAN4" s="2"/>
      <c r="FAP4" s="2"/>
      <c r="FAR4" s="2"/>
      <c r="FAT4" s="2"/>
      <c r="FAV4" s="2"/>
      <c r="FAX4" s="2"/>
      <c r="FAZ4" s="2"/>
      <c r="FBB4" s="2"/>
      <c r="FBD4" s="2"/>
      <c r="FBF4" s="2"/>
      <c r="FBH4" s="2"/>
      <c r="FBJ4" s="2"/>
      <c r="FBL4" s="2"/>
      <c r="FBN4" s="2"/>
      <c r="FBP4" s="2"/>
      <c r="FBR4" s="2"/>
      <c r="FBT4" s="2"/>
      <c r="FBV4" s="2"/>
      <c r="FBX4" s="2"/>
      <c r="FBZ4" s="2"/>
      <c r="FCB4" s="2"/>
      <c r="FCD4" s="2"/>
      <c r="FCF4" s="2"/>
      <c r="FCH4" s="2"/>
      <c r="FCJ4" s="2"/>
      <c r="FCL4" s="2"/>
      <c r="FCN4" s="2"/>
      <c r="FCP4" s="2"/>
      <c r="FCR4" s="2"/>
      <c r="FCT4" s="2"/>
      <c r="FCV4" s="2"/>
      <c r="FCX4" s="2"/>
      <c r="FCZ4" s="2"/>
      <c r="FDB4" s="2"/>
      <c r="FDD4" s="2"/>
      <c r="FDF4" s="2"/>
      <c r="FDH4" s="2"/>
      <c r="FDJ4" s="2"/>
      <c r="FDL4" s="2"/>
      <c r="FDN4" s="2"/>
      <c r="FDP4" s="2"/>
      <c r="FDR4" s="2"/>
      <c r="FDT4" s="2"/>
      <c r="FDV4" s="2"/>
      <c r="FDX4" s="2"/>
      <c r="FDZ4" s="2"/>
      <c r="FEB4" s="2"/>
      <c r="FED4" s="2"/>
      <c r="FEF4" s="2"/>
      <c r="FEH4" s="2"/>
      <c r="FEJ4" s="2"/>
      <c r="FEL4" s="2"/>
      <c r="FEN4" s="2"/>
      <c r="FEP4" s="2"/>
      <c r="FER4" s="2"/>
      <c r="FET4" s="2"/>
      <c r="FEV4" s="2"/>
      <c r="FEX4" s="2"/>
      <c r="FEZ4" s="2"/>
      <c r="FFB4" s="2"/>
      <c r="FFD4" s="2"/>
      <c r="FFF4" s="2"/>
      <c r="FFH4" s="2"/>
      <c r="FFJ4" s="2"/>
      <c r="FFL4" s="2"/>
      <c r="FFN4" s="2"/>
      <c r="FFP4" s="2"/>
      <c r="FFR4" s="2"/>
      <c r="FFT4" s="2"/>
      <c r="FFV4" s="2"/>
      <c r="FFX4" s="2"/>
      <c r="FFZ4" s="2"/>
      <c r="FGB4" s="2"/>
      <c r="FGD4" s="2"/>
      <c r="FGF4" s="2"/>
      <c r="FGH4" s="2"/>
      <c r="FGJ4" s="2"/>
      <c r="FGL4" s="2"/>
      <c r="FGN4" s="2"/>
      <c r="FGP4" s="2"/>
      <c r="FGR4" s="2"/>
      <c r="FGT4" s="2"/>
      <c r="FGV4" s="2"/>
      <c r="FGX4" s="2"/>
      <c r="FGZ4" s="2"/>
      <c r="FHB4" s="2"/>
      <c r="FHD4" s="2"/>
      <c r="FHF4" s="2"/>
      <c r="FHH4" s="2"/>
      <c r="FHJ4" s="2"/>
      <c r="FHL4" s="2"/>
      <c r="FHN4" s="2"/>
      <c r="FHP4" s="2"/>
      <c r="FHR4" s="2"/>
      <c r="FHT4" s="2"/>
      <c r="FHV4" s="2"/>
      <c r="FHX4" s="2"/>
      <c r="FHZ4" s="2"/>
      <c r="FIB4" s="2"/>
      <c r="FID4" s="2"/>
      <c r="FIF4" s="2"/>
      <c r="FIH4" s="2"/>
      <c r="FIJ4" s="2"/>
      <c r="FIL4" s="2"/>
      <c r="FIN4" s="2"/>
      <c r="FIP4" s="2"/>
      <c r="FIR4" s="2"/>
      <c r="FIT4" s="2"/>
      <c r="FIV4" s="2"/>
      <c r="FIX4" s="2"/>
      <c r="FIZ4" s="2"/>
      <c r="FJB4" s="2"/>
      <c r="FJD4" s="2"/>
      <c r="FJF4" s="2"/>
      <c r="FJH4" s="2"/>
      <c r="FJJ4" s="2"/>
      <c r="FJL4" s="2"/>
      <c r="FJN4" s="2"/>
      <c r="FJP4" s="2"/>
      <c r="FJR4" s="2"/>
      <c r="FJT4" s="2"/>
      <c r="FJV4" s="2"/>
      <c r="FJX4" s="2"/>
      <c r="FJZ4" s="2"/>
      <c r="FKB4" s="2"/>
      <c r="FKD4" s="2"/>
      <c r="FKF4" s="2"/>
      <c r="FKH4" s="2"/>
      <c r="FKJ4" s="2"/>
      <c r="FKL4" s="2"/>
      <c r="FKN4" s="2"/>
      <c r="FKP4" s="2"/>
      <c r="FKR4" s="2"/>
      <c r="FKT4" s="2"/>
      <c r="FKV4" s="2"/>
      <c r="FKX4" s="2"/>
      <c r="FKZ4" s="2"/>
      <c r="FLB4" s="2"/>
      <c r="FLD4" s="2"/>
      <c r="FLF4" s="2"/>
      <c r="FLH4" s="2"/>
      <c r="FLJ4" s="2"/>
      <c r="FLL4" s="2"/>
      <c r="FLN4" s="2"/>
      <c r="FLP4" s="2"/>
      <c r="FLR4" s="2"/>
      <c r="FLT4" s="2"/>
      <c r="FLV4" s="2"/>
      <c r="FLX4" s="2"/>
      <c r="FLZ4" s="2"/>
      <c r="FMB4" s="2"/>
      <c r="FMD4" s="2"/>
      <c r="FMF4" s="2"/>
      <c r="FMH4" s="2"/>
      <c r="FMJ4" s="2"/>
      <c r="FML4" s="2"/>
      <c r="FMN4" s="2"/>
      <c r="FMP4" s="2"/>
      <c r="FMR4" s="2"/>
      <c r="FMT4" s="2"/>
      <c r="FMV4" s="2"/>
      <c r="FMX4" s="2"/>
      <c r="FMZ4" s="2"/>
      <c r="FNB4" s="2"/>
      <c r="FND4" s="2"/>
      <c r="FNF4" s="2"/>
      <c r="FNH4" s="2"/>
      <c r="FNJ4" s="2"/>
      <c r="FNL4" s="2"/>
      <c r="FNN4" s="2"/>
      <c r="FNP4" s="2"/>
      <c r="FNR4" s="2"/>
      <c r="FNT4" s="2"/>
      <c r="FNV4" s="2"/>
      <c r="FNX4" s="2"/>
      <c r="FNZ4" s="2"/>
      <c r="FOB4" s="2"/>
      <c r="FOD4" s="2"/>
      <c r="FOF4" s="2"/>
      <c r="FOH4" s="2"/>
      <c r="FOJ4" s="2"/>
      <c r="FOL4" s="2"/>
      <c r="FON4" s="2"/>
      <c r="FOP4" s="2"/>
      <c r="FOR4" s="2"/>
      <c r="FOT4" s="2"/>
      <c r="FOV4" s="2"/>
      <c r="FOX4" s="2"/>
      <c r="FOZ4" s="2"/>
      <c r="FPB4" s="2"/>
      <c r="FPD4" s="2"/>
      <c r="FPF4" s="2"/>
      <c r="FPH4" s="2"/>
      <c r="FPJ4" s="2"/>
      <c r="FPL4" s="2"/>
      <c r="FPN4" s="2"/>
      <c r="FPP4" s="2"/>
      <c r="FPR4" s="2"/>
      <c r="FPT4" s="2"/>
      <c r="FPV4" s="2"/>
      <c r="FPX4" s="2"/>
      <c r="FPZ4" s="2"/>
      <c r="FQB4" s="2"/>
      <c r="FQD4" s="2"/>
      <c r="FQF4" s="2"/>
      <c r="FQH4" s="2"/>
      <c r="FQJ4" s="2"/>
      <c r="FQL4" s="2"/>
      <c r="FQN4" s="2"/>
      <c r="FQP4" s="2"/>
      <c r="FQR4" s="2"/>
      <c r="FQT4" s="2"/>
      <c r="FQV4" s="2"/>
      <c r="FQX4" s="2"/>
      <c r="FQZ4" s="2"/>
      <c r="FRB4" s="2"/>
      <c r="FRD4" s="2"/>
      <c r="FRF4" s="2"/>
      <c r="FRH4" s="2"/>
      <c r="FRJ4" s="2"/>
      <c r="FRL4" s="2"/>
      <c r="FRN4" s="2"/>
      <c r="FRP4" s="2"/>
      <c r="FRR4" s="2"/>
      <c r="FRT4" s="2"/>
      <c r="FRV4" s="2"/>
      <c r="FRX4" s="2"/>
      <c r="FRZ4" s="2"/>
      <c r="FSB4" s="2"/>
      <c r="FSD4" s="2"/>
      <c r="FSF4" s="2"/>
      <c r="FSH4" s="2"/>
      <c r="FSJ4" s="2"/>
      <c r="FSL4" s="2"/>
      <c r="FSN4" s="2"/>
      <c r="FSP4" s="2"/>
      <c r="FSR4" s="2"/>
      <c r="FST4" s="2"/>
      <c r="FSV4" s="2"/>
      <c r="FSX4" s="2"/>
      <c r="FSZ4" s="2"/>
      <c r="FTB4" s="2"/>
      <c r="FTD4" s="2"/>
      <c r="FTF4" s="2"/>
      <c r="FTH4" s="2"/>
      <c r="FTJ4" s="2"/>
      <c r="FTL4" s="2"/>
      <c r="FTN4" s="2"/>
      <c r="FTP4" s="2"/>
      <c r="FTR4" s="2"/>
      <c r="FTT4" s="2"/>
      <c r="FTV4" s="2"/>
      <c r="FTX4" s="2"/>
      <c r="FTZ4" s="2"/>
      <c r="FUB4" s="2"/>
      <c r="FUD4" s="2"/>
      <c r="FUF4" s="2"/>
      <c r="FUH4" s="2"/>
      <c r="FUJ4" s="2"/>
      <c r="FUL4" s="2"/>
      <c r="FUN4" s="2"/>
      <c r="FUP4" s="2"/>
      <c r="FUR4" s="2"/>
      <c r="FUT4" s="2"/>
      <c r="FUV4" s="2"/>
      <c r="FUX4" s="2"/>
      <c r="FUZ4" s="2"/>
      <c r="FVB4" s="2"/>
      <c r="FVD4" s="2"/>
      <c r="FVF4" s="2"/>
      <c r="FVH4" s="2"/>
      <c r="FVJ4" s="2"/>
      <c r="FVL4" s="2"/>
      <c r="FVN4" s="2"/>
      <c r="FVP4" s="2"/>
      <c r="FVR4" s="2"/>
      <c r="FVT4" s="2"/>
      <c r="FVV4" s="2"/>
      <c r="FVX4" s="2"/>
      <c r="FVZ4" s="2"/>
      <c r="FWB4" s="2"/>
      <c r="FWD4" s="2"/>
      <c r="FWF4" s="2"/>
      <c r="FWH4" s="2"/>
      <c r="FWJ4" s="2"/>
      <c r="FWL4" s="2"/>
      <c r="FWN4" s="2"/>
      <c r="FWP4" s="2"/>
      <c r="FWR4" s="2"/>
      <c r="FWT4" s="2"/>
      <c r="FWV4" s="2"/>
      <c r="FWX4" s="2"/>
      <c r="FWZ4" s="2"/>
      <c r="FXB4" s="2"/>
      <c r="FXD4" s="2"/>
      <c r="FXF4" s="2"/>
      <c r="FXH4" s="2"/>
      <c r="FXJ4" s="2"/>
      <c r="FXL4" s="2"/>
      <c r="FXN4" s="2"/>
      <c r="FXP4" s="2"/>
      <c r="FXR4" s="2"/>
      <c r="FXT4" s="2"/>
      <c r="FXV4" s="2"/>
      <c r="FXX4" s="2"/>
      <c r="FXZ4" s="2"/>
      <c r="FYB4" s="2"/>
      <c r="FYD4" s="2"/>
      <c r="FYF4" s="2"/>
      <c r="FYH4" s="2"/>
      <c r="FYJ4" s="2"/>
      <c r="FYL4" s="2"/>
      <c r="FYN4" s="2"/>
      <c r="FYP4" s="2"/>
      <c r="FYR4" s="2"/>
      <c r="FYT4" s="2"/>
      <c r="FYV4" s="2"/>
      <c r="FYX4" s="2"/>
      <c r="FYZ4" s="2"/>
      <c r="FZB4" s="2"/>
      <c r="FZD4" s="2"/>
      <c r="FZF4" s="2"/>
      <c r="FZH4" s="2"/>
      <c r="FZJ4" s="2"/>
      <c r="FZL4" s="2"/>
      <c r="FZN4" s="2"/>
      <c r="FZP4" s="2"/>
      <c r="FZR4" s="2"/>
      <c r="FZT4" s="2"/>
      <c r="FZV4" s="2"/>
      <c r="FZX4" s="2"/>
      <c r="FZZ4" s="2"/>
      <c r="GAB4" s="2"/>
      <c r="GAD4" s="2"/>
      <c r="GAF4" s="2"/>
      <c r="GAH4" s="2"/>
      <c r="GAJ4" s="2"/>
      <c r="GAL4" s="2"/>
      <c r="GAN4" s="2"/>
      <c r="GAP4" s="2"/>
      <c r="GAR4" s="2"/>
      <c r="GAT4" s="2"/>
      <c r="GAV4" s="2"/>
      <c r="GAX4" s="2"/>
      <c r="GAZ4" s="2"/>
      <c r="GBB4" s="2"/>
      <c r="GBD4" s="2"/>
      <c r="GBF4" s="2"/>
      <c r="GBH4" s="2"/>
      <c r="GBJ4" s="2"/>
      <c r="GBL4" s="2"/>
      <c r="GBN4" s="2"/>
      <c r="GBP4" s="2"/>
      <c r="GBR4" s="2"/>
      <c r="GBT4" s="2"/>
      <c r="GBV4" s="2"/>
      <c r="GBX4" s="2"/>
      <c r="GBZ4" s="2"/>
      <c r="GCB4" s="2"/>
      <c r="GCD4" s="2"/>
      <c r="GCF4" s="2"/>
      <c r="GCH4" s="2"/>
      <c r="GCJ4" s="2"/>
      <c r="GCL4" s="2"/>
      <c r="GCN4" s="2"/>
      <c r="GCP4" s="2"/>
      <c r="GCR4" s="2"/>
      <c r="GCT4" s="2"/>
      <c r="GCV4" s="2"/>
      <c r="GCX4" s="2"/>
      <c r="GCZ4" s="2"/>
      <c r="GDB4" s="2"/>
      <c r="GDD4" s="2"/>
      <c r="GDF4" s="2"/>
      <c r="GDH4" s="2"/>
      <c r="GDJ4" s="2"/>
      <c r="GDL4" s="2"/>
      <c r="GDN4" s="2"/>
      <c r="GDP4" s="2"/>
      <c r="GDR4" s="2"/>
      <c r="GDT4" s="2"/>
      <c r="GDV4" s="2"/>
      <c r="GDX4" s="2"/>
      <c r="GDZ4" s="2"/>
      <c r="GEB4" s="2"/>
      <c r="GED4" s="2"/>
      <c r="GEF4" s="2"/>
      <c r="GEH4" s="2"/>
      <c r="GEJ4" s="2"/>
      <c r="GEL4" s="2"/>
      <c r="GEN4" s="2"/>
      <c r="GEP4" s="2"/>
      <c r="GER4" s="2"/>
      <c r="GET4" s="2"/>
      <c r="GEV4" s="2"/>
      <c r="GEX4" s="2"/>
      <c r="GEZ4" s="2"/>
      <c r="GFB4" s="2"/>
      <c r="GFD4" s="2"/>
      <c r="GFF4" s="2"/>
      <c r="GFH4" s="2"/>
      <c r="GFJ4" s="2"/>
      <c r="GFL4" s="2"/>
      <c r="GFN4" s="2"/>
      <c r="GFP4" s="2"/>
      <c r="GFR4" s="2"/>
      <c r="GFT4" s="2"/>
      <c r="GFV4" s="2"/>
      <c r="GFX4" s="2"/>
      <c r="GFZ4" s="2"/>
      <c r="GGB4" s="2"/>
      <c r="GGD4" s="2"/>
      <c r="GGF4" s="2"/>
      <c r="GGH4" s="2"/>
      <c r="GGJ4" s="2"/>
      <c r="GGL4" s="2"/>
      <c r="GGN4" s="2"/>
      <c r="GGP4" s="2"/>
      <c r="GGR4" s="2"/>
      <c r="GGT4" s="2"/>
      <c r="GGV4" s="2"/>
      <c r="GGX4" s="2"/>
      <c r="GGZ4" s="2"/>
      <c r="GHB4" s="2"/>
      <c r="GHD4" s="2"/>
      <c r="GHF4" s="2"/>
      <c r="GHH4" s="2"/>
      <c r="GHJ4" s="2"/>
      <c r="GHL4" s="2"/>
      <c r="GHN4" s="2"/>
      <c r="GHP4" s="2"/>
      <c r="GHR4" s="2"/>
      <c r="GHT4" s="2"/>
      <c r="GHV4" s="2"/>
      <c r="GHX4" s="2"/>
      <c r="GHZ4" s="2"/>
      <c r="GIB4" s="2"/>
      <c r="GID4" s="2"/>
      <c r="GIF4" s="2"/>
      <c r="GIH4" s="2"/>
      <c r="GIJ4" s="2"/>
      <c r="GIL4" s="2"/>
      <c r="GIN4" s="2"/>
      <c r="GIP4" s="2"/>
      <c r="GIR4" s="2"/>
      <c r="GIT4" s="2"/>
      <c r="GIV4" s="2"/>
      <c r="GIX4" s="2"/>
      <c r="GIZ4" s="2"/>
      <c r="GJB4" s="2"/>
      <c r="GJD4" s="2"/>
      <c r="GJF4" s="2"/>
      <c r="GJH4" s="2"/>
      <c r="GJJ4" s="2"/>
      <c r="GJL4" s="2"/>
      <c r="GJN4" s="2"/>
      <c r="GJP4" s="2"/>
      <c r="GJR4" s="2"/>
      <c r="GJT4" s="2"/>
      <c r="GJV4" s="2"/>
      <c r="GJX4" s="2"/>
      <c r="GJZ4" s="2"/>
      <c r="GKB4" s="2"/>
      <c r="GKD4" s="2"/>
      <c r="GKF4" s="2"/>
      <c r="GKH4" s="2"/>
      <c r="GKJ4" s="2"/>
      <c r="GKL4" s="2"/>
      <c r="GKN4" s="2"/>
      <c r="GKP4" s="2"/>
      <c r="GKR4" s="2"/>
      <c r="GKT4" s="2"/>
      <c r="GKV4" s="2"/>
      <c r="GKX4" s="2"/>
      <c r="GKZ4" s="2"/>
      <c r="GLB4" s="2"/>
      <c r="GLD4" s="2"/>
      <c r="GLF4" s="2"/>
      <c r="GLH4" s="2"/>
      <c r="GLJ4" s="2"/>
      <c r="GLL4" s="2"/>
      <c r="GLN4" s="2"/>
      <c r="GLP4" s="2"/>
      <c r="GLR4" s="2"/>
      <c r="GLT4" s="2"/>
      <c r="GLV4" s="2"/>
      <c r="GLX4" s="2"/>
      <c r="GLZ4" s="2"/>
      <c r="GMB4" s="2"/>
      <c r="GMD4" s="2"/>
      <c r="GMF4" s="2"/>
      <c r="GMH4" s="2"/>
      <c r="GMJ4" s="2"/>
      <c r="GML4" s="2"/>
      <c r="GMN4" s="2"/>
      <c r="GMP4" s="2"/>
      <c r="GMR4" s="2"/>
      <c r="GMT4" s="2"/>
      <c r="GMV4" s="2"/>
      <c r="GMX4" s="2"/>
      <c r="GMZ4" s="2"/>
      <c r="GNB4" s="2"/>
      <c r="GND4" s="2"/>
      <c r="GNF4" s="2"/>
      <c r="GNH4" s="2"/>
      <c r="GNJ4" s="2"/>
      <c r="GNL4" s="2"/>
      <c r="GNN4" s="2"/>
      <c r="GNP4" s="2"/>
      <c r="GNR4" s="2"/>
      <c r="GNT4" s="2"/>
      <c r="GNV4" s="2"/>
      <c r="GNX4" s="2"/>
      <c r="GNZ4" s="2"/>
      <c r="GOB4" s="2"/>
      <c r="GOD4" s="2"/>
      <c r="GOF4" s="2"/>
      <c r="GOH4" s="2"/>
      <c r="GOJ4" s="2"/>
      <c r="GOL4" s="2"/>
      <c r="GON4" s="2"/>
      <c r="GOP4" s="2"/>
      <c r="GOR4" s="2"/>
      <c r="GOT4" s="2"/>
      <c r="GOV4" s="2"/>
      <c r="GOX4" s="2"/>
      <c r="GOZ4" s="2"/>
      <c r="GPB4" s="2"/>
      <c r="GPD4" s="2"/>
      <c r="GPF4" s="2"/>
      <c r="GPH4" s="2"/>
      <c r="GPJ4" s="2"/>
      <c r="GPL4" s="2"/>
      <c r="GPN4" s="2"/>
      <c r="GPP4" s="2"/>
      <c r="GPR4" s="2"/>
      <c r="GPT4" s="2"/>
      <c r="GPV4" s="2"/>
      <c r="GPX4" s="2"/>
      <c r="GPZ4" s="2"/>
      <c r="GQB4" s="2"/>
      <c r="GQD4" s="2"/>
      <c r="GQF4" s="2"/>
      <c r="GQH4" s="2"/>
      <c r="GQJ4" s="2"/>
      <c r="GQL4" s="2"/>
      <c r="GQN4" s="2"/>
      <c r="GQP4" s="2"/>
      <c r="GQR4" s="2"/>
      <c r="GQT4" s="2"/>
      <c r="GQV4" s="2"/>
      <c r="GQX4" s="2"/>
      <c r="GQZ4" s="2"/>
      <c r="GRB4" s="2"/>
      <c r="GRD4" s="2"/>
      <c r="GRF4" s="2"/>
      <c r="GRH4" s="2"/>
      <c r="GRJ4" s="2"/>
      <c r="GRL4" s="2"/>
      <c r="GRN4" s="2"/>
      <c r="GRP4" s="2"/>
      <c r="GRR4" s="2"/>
      <c r="GRT4" s="2"/>
      <c r="GRV4" s="2"/>
      <c r="GRX4" s="2"/>
      <c r="GRZ4" s="2"/>
      <c r="GSB4" s="2"/>
      <c r="GSD4" s="2"/>
      <c r="GSF4" s="2"/>
      <c r="GSH4" s="2"/>
      <c r="GSJ4" s="2"/>
      <c r="GSL4" s="2"/>
      <c r="GSN4" s="2"/>
      <c r="GSP4" s="2"/>
      <c r="GSR4" s="2"/>
      <c r="GST4" s="2"/>
      <c r="GSV4" s="2"/>
      <c r="GSX4" s="2"/>
      <c r="GSZ4" s="2"/>
      <c r="GTB4" s="2"/>
      <c r="GTD4" s="2"/>
      <c r="GTF4" s="2"/>
      <c r="GTH4" s="2"/>
      <c r="GTJ4" s="2"/>
      <c r="GTL4" s="2"/>
      <c r="GTN4" s="2"/>
      <c r="GTP4" s="2"/>
      <c r="GTR4" s="2"/>
      <c r="GTT4" s="2"/>
      <c r="GTV4" s="2"/>
      <c r="GTX4" s="2"/>
      <c r="GTZ4" s="2"/>
      <c r="GUB4" s="2"/>
      <c r="GUD4" s="2"/>
      <c r="GUF4" s="2"/>
      <c r="GUH4" s="2"/>
      <c r="GUJ4" s="2"/>
      <c r="GUL4" s="2"/>
      <c r="GUN4" s="2"/>
      <c r="GUP4" s="2"/>
      <c r="GUR4" s="2"/>
      <c r="GUT4" s="2"/>
      <c r="GUV4" s="2"/>
      <c r="GUX4" s="2"/>
      <c r="GUZ4" s="2"/>
      <c r="GVB4" s="2"/>
      <c r="GVD4" s="2"/>
      <c r="GVF4" s="2"/>
      <c r="GVH4" s="2"/>
      <c r="GVJ4" s="2"/>
      <c r="GVL4" s="2"/>
      <c r="GVN4" s="2"/>
      <c r="GVP4" s="2"/>
      <c r="GVR4" s="2"/>
      <c r="GVT4" s="2"/>
      <c r="GVV4" s="2"/>
      <c r="GVX4" s="2"/>
      <c r="GVZ4" s="2"/>
      <c r="GWB4" s="2"/>
      <c r="GWD4" s="2"/>
      <c r="GWF4" s="2"/>
      <c r="GWH4" s="2"/>
      <c r="GWJ4" s="2"/>
      <c r="GWL4" s="2"/>
      <c r="GWN4" s="2"/>
      <c r="GWP4" s="2"/>
      <c r="GWR4" s="2"/>
      <c r="GWT4" s="2"/>
      <c r="GWV4" s="2"/>
      <c r="GWX4" s="2"/>
      <c r="GWZ4" s="2"/>
      <c r="GXB4" s="2"/>
      <c r="GXD4" s="2"/>
      <c r="GXF4" s="2"/>
      <c r="GXH4" s="2"/>
      <c r="GXJ4" s="2"/>
      <c r="GXL4" s="2"/>
      <c r="GXN4" s="2"/>
      <c r="GXP4" s="2"/>
      <c r="GXR4" s="2"/>
      <c r="GXT4" s="2"/>
      <c r="GXV4" s="2"/>
      <c r="GXX4" s="2"/>
      <c r="GXZ4" s="2"/>
      <c r="GYB4" s="2"/>
      <c r="GYD4" s="2"/>
      <c r="GYF4" s="2"/>
      <c r="GYH4" s="2"/>
      <c r="GYJ4" s="2"/>
      <c r="GYL4" s="2"/>
      <c r="GYN4" s="2"/>
      <c r="GYP4" s="2"/>
      <c r="GYR4" s="2"/>
      <c r="GYT4" s="2"/>
      <c r="GYV4" s="2"/>
      <c r="GYX4" s="2"/>
      <c r="GYZ4" s="2"/>
      <c r="GZB4" s="2"/>
      <c r="GZD4" s="2"/>
      <c r="GZF4" s="2"/>
      <c r="GZH4" s="2"/>
      <c r="GZJ4" s="2"/>
      <c r="GZL4" s="2"/>
      <c r="GZN4" s="2"/>
      <c r="GZP4" s="2"/>
      <c r="GZR4" s="2"/>
      <c r="GZT4" s="2"/>
      <c r="GZV4" s="2"/>
      <c r="GZX4" s="2"/>
      <c r="GZZ4" s="2"/>
      <c r="HAB4" s="2"/>
      <c r="HAD4" s="2"/>
      <c r="HAF4" s="2"/>
      <c r="HAH4" s="2"/>
      <c r="HAJ4" s="2"/>
      <c r="HAL4" s="2"/>
      <c r="HAN4" s="2"/>
      <c r="HAP4" s="2"/>
      <c r="HAR4" s="2"/>
      <c r="HAT4" s="2"/>
      <c r="HAV4" s="2"/>
      <c r="HAX4" s="2"/>
      <c r="HAZ4" s="2"/>
      <c r="HBB4" s="2"/>
      <c r="HBD4" s="2"/>
      <c r="HBF4" s="2"/>
      <c r="HBH4" s="2"/>
      <c r="HBJ4" s="2"/>
      <c r="HBL4" s="2"/>
      <c r="HBN4" s="2"/>
      <c r="HBP4" s="2"/>
      <c r="HBR4" s="2"/>
      <c r="HBT4" s="2"/>
      <c r="HBV4" s="2"/>
      <c r="HBX4" s="2"/>
      <c r="HBZ4" s="2"/>
      <c r="HCB4" s="2"/>
      <c r="HCD4" s="2"/>
      <c r="HCF4" s="2"/>
      <c r="HCH4" s="2"/>
      <c r="HCJ4" s="2"/>
      <c r="HCL4" s="2"/>
      <c r="HCN4" s="2"/>
      <c r="HCP4" s="2"/>
      <c r="HCR4" s="2"/>
      <c r="HCT4" s="2"/>
      <c r="HCV4" s="2"/>
      <c r="HCX4" s="2"/>
      <c r="HCZ4" s="2"/>
      <c r="HDB4" s="2"/>
      <c r="HDD4" s="2"/>
      <c r="HDF4" s="2"/>
      <c r="HDH4" s="2"/>
      <c r="HDJ4" s="2"/>
      <c r="HDL4" s="2"/>
      <c r="HDN4" s="2"/>
      <c r="HDP4" s="2"/>
      <c r="HDR4" s="2"/>
      <c r="HDT4" s="2"/>
      <c r="HDV4" s="2"/>
      <c r="HDX4" s="2"/>
      <c r="HDZ4" s="2"/>
      <c r="HEB4" s="2"/>
      <c r="HED4" s="2"/>
      <c r="HEF4" s="2"/>
      <c r="HEH4" s="2"/>
      <c r="HEJ4" s="2"/>
      <c r="HEL4" s="2"/>
      <c r="HEN4" s="2"/>
      <c r="HEP4" s="2"/>
      <c r="HER4" s="2"/>
      <c r="HET4" s="2"/>
      <c r="HEV4" s="2"/>
      <c r="HEX4" s="2"/>
      <c r="HEZ4" s="2"/>
      <c r="HFB4" s="2"/>
      <c r="HFD4" s="2"/>
      <c r="HFF4" s="2"/>
      <c r="HFH4" s="2"/>
      <c r="HFJ4" s="2"/>
      <c r="HFL4" s="2"/>
      <c r="HFN4" s="2"/>
      <c r="HFP4" s="2"/>
      <c r="HFR4" s="2"/>
      <c r="HFT4" s="2"/>
      <c r="HFV4" s="2"/>
      <c r="HFX4" s="2"/>
      <c r="HFZ4" s="2"/>
      <c r="HGB4" s="2"/>
      <c r="HGD4" s="2"/>
      <c r="HGF4" s="2"/>
      <c r="HGH4" s="2"/>
      <c r="HGJ4" s="2"/>
      <c r="HGL4" s="2"/>
      <c r="HGN4" s="2"/>
      <c r="HGP4" s="2"/>
      <c r="HGR4" s="2"/>
      <c r="HGT4" s="2"/>
      <c r="HGV4" s="2"/>
      <c r="HGX4" s="2"/>
      <c r="HGZ4" s="2"/>
      <c r="HHB4" s="2"/>
      <c r="HHD4" s="2"/>
      <c r="HHF4" s="2"/>
      <c r="HHH4" s="2"/>
      <c r="HHJ4" s="2"/>
      <c r="HHL4" s="2"/>
      <c r="HHN4" s="2"/>
      <c r="HHP4" s="2"/>
      <c r="HHR4" s="2"/>
      <c r="HHT4" s="2"/>
      <c r="HHV4" s="2"/>
      <c r="HHX4" s="2"/>
      <c r="HHZ4" s="2"/>
      <c r="HIB4" s="2"/>
      <c r="HID4" s="2"/>
      <c r="HIF4" s="2"/>
      <c r="HIH4" s="2"/>
      <c r="HIJ4" s="2"/>
      <c r="HIL4" s="2"/>
      <c r="HIN4" s="2"/>
      <c r="HIP4" s="2"/>
      <c r="HIR4" s="2"/>
      <c r="HIT4" s="2"/>
      <c r="HIV4" s="2"/>
      <c r="HIX4" s="2"/>
      <c r="HIZ4" s="2"/>
      <c r="HJB4" s="2"/>
      <c r="HJD4" s="2"/>
      <c r="HJF4" s="2"/>
      <c r="HJH4" s="2"/>
      <c r="HJJ4" s="2"/>
      <c r="HJL4" s="2"/>
      <c r="HJN4" s="2"/>
      <c r="HJP4" s="2"/>
      <c r="HJR4" s="2"/>
      <c r="HJT4" s="2"/>
      <c r="HJV4" s="2"/>
      <c r="HJX4" s="2"/>
      <c r="HJZ4" s="2"/>
      <c r="HKB4" s="2"/>
      <c r="HKD4" s="2"/>
      <c r="HKF4" s="2"/>
      <c r="HKH4" s="2"/>
      <c r="HKJ4" s="2"/>
      <c r="HKL4" s="2"/>
      <c r="HKN4" s="2"/>
      <c r="HKP4" s="2"/>
      <c r="HKR4" s="2"/>
      <c r="HKT4" s="2"/>
      <c r="HKV4" s="2"/>
      <c r="HKX4" s="2"/>
      <c r="HKZ4" s="2"/>
      <c r="HLB4" s="2"/>
      <c r="HLD4" s="2"/>
      <c r="HLF4" s="2"/>
      <c r="HLH4" s="2"/>
      <c r="HLJ4" s="2"/>
      <c r="HLL4" s="2"/>
      <c r="HLN4" s="2"/>
      <c r="HLP4" s="2"/>
      <c r="HLR4" s="2"/>
      <c r="HLT4" s="2"/>
      <c r="HLV4" s="2"/>
      <c r="HLX4" s="2"/>
      <c r="HLZ4" s="2"/>
      <c r="HMB4" s="2"/>
      <c r="HMD4" s="2"/>
      <c r="HMF4" s="2"/>
      <c r="HMH4" s="2"/>
      <c r="HMJ4" s="2"/>
      <c r="HML4" s="2"/>
      <c r="HMN4" s="2"/>
      <c r="HMP4" s="2"/>
      <c r="HMR4" s="2"/>
      <c r="HMT4" s="2"/>
      <c r="HMV4" s="2"/>
      <c r="HMX4" s="2"/>
      <c r="HMZ4" s="2"/>
      <c r="HNB4" s="2"/>
      <c r="HND4" s="2"/>
      <c r="HNF4" s="2"/>
      <c r="HNH4" s="2"/>
      <c r="HNJ4" s="2"/>
      <c r="HNL4" s="2"/>
      <c r="HNN4" s="2"/>
      <c r="HNP4" s="2"/>
      <c r="HNR4" s="2"/>
      <c r="HNT4" s="2"/>
      <c r="HNV4" s="2"/>
      <c r="HNX4" s="2"/>
      <c r="HNZ4" s="2"/>
      <c r="HOB4" s="2"/>
      <c r="HOD4" s="2"/>
      <c r="HOF4" s="2"/>
      <c r="HOH4" s="2"/>
      <c r="HOJ4" s="2"/>
      <c r="HOL4" s="2"/>
      <c r="HON4" s="2"/>
      <c r="HOP4" s="2"/>
      <c r="HOR4" s="2"/>
      <c r="HOT4" s="2"/>
      <c r="HOV4" s="2"/>
      <c r="HOX4" s="2"/>
      <c r="HOZ4" s="2"/>
      <c r="HPB4" s="2"/>
      <c r="HPD4" s="2"/>
      <c r="HPF4" s="2"/>
      <c r="HPH4" s="2"/>
      <c r="HPJ4" s="2"/>
      <c r="HPL4" s="2"/>
      <c r="HPN4" s="2"/>
      <c r="HPP4" s="2"/>
      <c r="HPR4" s="2"/>
      <c r="HPT4" s="2"/>
      <c r="HPV4" s="2"/>
      <c r="HPX4" s="2"/>
      <c r="HPZ4" s="2"/>
      <c r="HQB4" s="2"/>
      <c r="HQD4" s="2"/>
      <c r="HQF4" s="2"/>
      <c r="HQH4" s="2"/>
      <c r="HQJ4" s="2"/>
      <c r="HQL4" s="2"/>
      <c r="HQN4" s="2"/>
      <c r="HQP4" s="2"/>
      <c r="HQR4" s="2"/>
      <c r="HQT4" s="2"/>
      <c r="HQV4" s="2"/>
      <c r="HQX4" s="2"/>
      <c r="HQZ4" s="2"/>
      <c r="HRB4" s="2"/>
      <c r="HRD4" s="2"/>
      <c r="HRF4" s="2"/>
      <c r="HRH4" s="2"/>
      <c r="HRJ4" s="2"/>
      <c r="HRL4" s="2"/>
      <c r="HRN4" s="2"/>
      <c r="HRP4" s="2"/>
      <c r="HRR4" s="2"/>
      <c r="HRT4" s="2"/>
      <c r="HRV4" s="2"/>
      <c r="HRX4" s="2"/>
      <c r="HRZ4" s="2"/>
      <c r="HSB4" s="2"/>
      <c r="HSD4" s="2"/>
      <c r="HSF4" s="2"/>
      <c r="HSH4" s="2"/>
      <c r="HSJ4" s="2"/>
      <c r="HSL4" s="2"/>
      <c r="HSN4" s="2"/>
      <c r="HSP4" s="2"/>
      <c r="HSR4" s="2"/>
      <c r="HST4" s="2"/>
      <c r="HSV4" s="2"/>
      <c r="HSX4" s="2"/>
      <c r="HSZ4" s="2"/>
      <c r="HTB4" s="2"/>
      <c r="HTD4" s="2"/>
      <c r="HTF4" s="2"/>
      <c r="HTH4" s="2"/>
      <c r="HTJ4" s="2"/>
      <c r="HTL4" s="2"/>
      <c r="HTN4" s="2"/>
      <c r="HTP4" s="2"/>
      <c r="HTR4" s="2"/>
      <c r="HTT4" s="2"/>
      <c r="HTV4" s="2"/>
      <c r="HTX4" s="2"/>
      <c r="HTZ4" s="2"/>
      <c r="HUB4" s="2"/>
      <c r="HUD4" s="2"/>
      <c r="HUF4" s="2"/>
      <c r="HUH4" s="2"/>
      <c r="HUJ4" s="2"/>
      <c r="HUL4" s="2"/>
      <c r="HUN4" s="2"/>
      <c r="HUP4" s="2"/>
      <c r="HUR4" s="2"/>
      <c r="HUT4" s="2"/>
      <c r="HUV4" s="2"/>
      <c r="HUX4" s="2"/>
      <c r="HUZ4" s="2"/>
      <c r="HVB4" s="2"/>
      <c r="HVD4" s="2"/>
      <c r="HVF4" s="2"/>
      <c r="HVH4" s="2"/>
      <c r="HVJ4" s="2"/>
      <c r="HVL4" s="2"/>
      <c r="HVN4" s="2"/>
      <c r="HVP4" s="2"/>
      <c r="HVR4" s="2"/>
      <c r="HVT4" s="2"/>
      <c r="HVV4" s="2"/>
      <c r="HVX4" s="2"/>
      <c r="HVZ4" s="2"/>
      <c r="HWB4" s="2"/>
      <c r="HWD4" s="2"/>
      <c r="HWF4" s="2"/>
      <c r="HWH4" s="2"/>
      <c r="HWJ4" s="2"/>
      <c r="HWL4" s="2"/>
      <c r="HWN4" s="2"/>
      <c r="HWP4" s="2"/>
      <c r="HWR4" s="2"/>
      <c r="HWT4" s="2"/>
      <c r="HWV4" s="2"/>
      <c r="HWX4" s="2"/>
      <c r="HWZ4" s="2"/>
      <c r="HXB4" s="2"/>
      <c r="HXD4" s="2"/>
      <c r="HXF4" s="2"/>
      <c r="HXH4" s="2"/>
      <c r="HXJ4" s="2"/>
      <c r="HXL4" s="2"/>
      <c r="HXN4" s="2"/>
      <c r="HXP4" s="2"/>
      <c r="HXR4" s="2"/>
      <c r="HXT4" s="2"/>
      <c r="HXV4" s="2"/>
      <c r="HXX4" s="2"/>
      <c r="HXZ4" s="2"/>
      <c r="HYB4" s="2"/>
      <c r="HYD4" s="2"/>
      <c r="HYF4" s="2"/>
      <c r="HYH4" s="2"/>
      <c r="HYJ4" s="2"/>
      <c r="HYL4" s="2"/>
      <c r="HYN4" s="2"/>
      <c r="HYP4" s="2"/>
      <c r="HYR4" s="2"/>
      <c r="HYT4" s="2"/>
      <c r="HYV4" s="2"/>
      <c r="HYX4" s="2"/>
      <c r="HYZ4" s="2"/>
      <c r="HZB4" s="2"/>
      <c r="HZD4" s="2"/>
      <c r="HZF4" s="2"/>
      <c r="HZH4" s="2"/>
      <c r="HZJ4" s="2"/>
      <c r="HZL4" s="2"/>
      <c r="HZN4" s="2"/>
      <c r="HZP4" s="2"/>
      <c r="HZR4" s="2"/>
      <c r="HZT4" s="2"/>
      <c r="HZV4" s="2"/>
      <c r="HZX4" s="2"/>
      <c r="HZZ4" s="2"/>
      <c r="IAB4" s="2"/>
      <c r="IAD4" s="2"/>
      <c r="IAF4" s="2"/>
      <c r="IAH4" s="2"/>
      <c r="IAJ4" s="2"/>
      <c r="IAL4" s="2"/>
      <c r="IAN4" s="2"/>
      <c r="IAP4" s="2"/>
      <c r="IAR4" s="2"/>
      <c r="IAT4" s="2"/>
      <c r="IAV4" s="2"/>
      <c r="IAX4" s="2"/>
      <c r="IAZ4" s="2"/>
      <c r="IBB4" s="2"/>
      <c r="IBD4" s="2"/>
      <c r="IBF4" s="2"/>
      <c r="IBH4" s="2"/>
      <c r="IBJ4" s="2"/>
      <c r="IBL4" s="2"/>
      <c r="IBN4" s="2"/>
      <c r="IBP4" s="2"/>
      <c r="IBR4" s="2"/>
      <c r="IBT4" s="2"/>
      <c r="IBV4" s="2"/>
      <c r="IBX4" s="2"/>
      <c r="IBZ4" s="2"/>
      <c r="ICB4" s="2"/>
      <c r="ICD4" s="2"/>
      <c r="ICF4" s="2"/>
      <c r="ICH4" s="2"/>
      <c r="ICJ4" s="2"/>
      <c r="ICL4" s="2"/>
      <c r="ICN4" s="2"/>
      <c r="ICP4" s="2"/>
      <c r="ICR4" s="2"/>
      <c r="ICT4" s="2"/>
      <c r="ICV4" s="2"/>
      <c r="ICX4" s="2"/>
      <c r="ICZ4" s="2"/>
      <c r="IDB4" s="2"/>
      <c r="IDD4" s="2"/>
      <c r="IDF4" s="2"/>
      <c r="IDH4" s="2"/>
      <c r="IDJ4" s="2"/>
      <c r="IDL4" s="2"/>
      <c r="IDN4" s="2"/>
      <c r="IDP4" s="2"/>
      <c r="IDR4" s="2"/>
      <c r="IDT4" s="2"/>
      <c r="IDV4" s="2"/>
      <c r="IDX4" s="2"/>
      <c r="IDZ4" s="2"/>
      <c r="IEB4" s="2"/>
      <c r="IED4" s="2"/>
      <c r="IEF4" s="2"/>
      <c r="IEH4" s="2"/>
      <c r="IEJ4" s="2"/>
      <c r="IEL4" s="2"/>
      <c r="IEN4" s="2"/>
      <c r="IEP4" s="2"/>
      <c r="IER4" s="2"/>
      <c r="IET4" s="2"/>
      <c r="IEV4" s="2"/>
      <c r="IEX4" s="2"/>
      <c r="IEZ4" s="2"/>
      <c r="IFB4" s="2"/>
      <c r="IFD4" s="2"/>
      <c r="IFF4" s="2"/>
      <c r="IFH4" s="2"/>
      <c r="IFJ4" s="2"/>
      <c r="IFL4" s="2"/>
      <c r="IFN4" s="2"/>
      <c r="IFP4" s="2"/>
      <c r="IFR4" s="2"/>
      <c r="IFT4" s="2"/>
      <c r="IFV4" s="2"/>
      <c r="IFX4" s="2"/>
      <c r="IFZ4" s="2"/>
      <c r="IGB4" s="2"/>
      <c r="IGD4" s="2"/>
      <c r="IGF4" s="2"/>
      <c r="IGH4" s="2"/>
      <c r="IGJ4" s="2"/>
      <c r="IGL4" s="2"/>
      <c r="IGN4" s="2"/>
      <c r="IGP4" s="2"/>
      <c r="IGR4" s="2"/>
      <c r="IGT4" s="2"/>
      <c r="IGV4" s="2"/>
      <c r="IGX4" s="2"/>
      <c r="IGZ4" s="2"/>
      <c r="IHB4" s="2"/>
      <c r="IHD4" s="2"/>
      <c r="IHF4" s="2"/>
      <c r="IHH4" s="2"/>
      <c r="IHJ4" s="2"/>
      <c r="IHL4" s="2"/>
      <c r="IHN4" s="2"/>
      <c r="IHP4" s="2"/>
      <c r="IHR4" s="2"/>
      <c r="IHT4" s="2"/>
      <c r="IHV4" s="2"/>
      <c r="IHX4" s="2"/>
      <c r="IHZ4" s="2"/>
      <c r="IIB4" s="2"/>
      <c r="IID4" s="2"/>
      <c r="IIF4" s="2"/>
      <c r="IIH4" s="2"/>
      <c r="IIJ4" s="2"/>
      <c r="IIL4" s="2"/>
      <c r="IIN4" s="2"/>
      <c r="IIP4" s="2"/>
      <c r="IIR4" s="2"/>
      <c r="IIT4" s="2"/>
      <c r="IIV4" s="2"/>
      <c r="IIX4" s="2"/>
      <c r="IIZ4" s="2"/>
      <c r="IJB4" s="2"/>
      <c r="IJD4" s="2"/>
      <c r="IJF4" s="2"/>
      <c r="IJH4" s="2"/>
      <c r="IJJ4" s="2"/>
      <c r="IJL4" s="2"/>
      <c r="IJN4" s="2"/>
      <c r="IJP4" s="2"/>
      <c r="IJR4" s="2"/>
      <c r="IJT4" s="2"/>
      <c r="IJV4" s="2"/>
      <c r="IJX4" s="2"/>
      <c r="IJZ4" s="2"/>
      <c r="IKB4" s="2"/>
      <c r="IKD4" s="2"/>
      <c r="IKF4" s="2"/>
      <c r="IKH4" s="2"/>
      <c r="IKJ4" s="2"/>
      <c r="IKL4" s="2"/>
      <c r="IKN4" s="2"/>
      <c r="IKP4" s="2"/>
      <c r="IKR4" s="2"/>
      <c r="IKT4" s="2"/>
      <c r="IKV4" s="2"/>
      <c r="IKX4" s="2"/>
      <c r="IKZ4" s="2"/>
      <c r="ILB4" s="2"/>
      <c r="ILD4" s="2"/>
      <c r="ILF4" s="2"/>
      <c r="ILH4" s="2"/>
      <c r="ILJ4" s="2"/>
      <c r="ILL4" s="2"/>
      <c r="ILN4" s="2"/>
      <c r="ILP4" s="2"/>
      <c r="ILR4" s="2"/>
      <c r="ILT4" s="2"/>
      <c r="ILV4" s="2"/>
      <c r="ILX4" s="2"/>
      <c r="ILZ4" s="2"/>
      <c r="IMB4" s="2"/>
      <c r="IMD4" s="2"/>
      <c r="IMF4" s="2"/>
      <c r="IMH4" s="2"/>
      <c r="IMJ4" s="2"/>
      <c r="IML4" s="2"/>
      <c r="IMN4" s="2"/>
      <c r="IMP4" s="2"/>
      <c r="IMR4" s="2"/>
      <c r="IMT4" s="2"/>
      <c r="IMV4" s="2"/>
      <c r="IMX4" s="2"/>
      <c r="IMZ4" s="2"/>
      <c r="INB4" s="2"/>
      <c r="IND4" s="2"/>
      <c r="INF4" s="2"/>
      <c r="INH4" s="2"/>
      <c r="INJ4" s="2"/>
      <c r="INL4" s="2"/>
      <c r="INN4" s="2"/>
      <c r="INP4" s="2"/>
      <c r="INR4" s="2"/>
      <c r="INT4" s="2"/>
      <c r="INV4" s="2"/>
      <c r="INX4" s="2"/>
      <c r="INZ4" s="2"/>
      <c r="IOB4" s="2"/>
      <c r="IOD4" s="2"/>
      <c r="IOF4" s="2"/>
      <c r="IOH4" s="2"/>
      <c r="IOJ4" s="2"/>
      <c r="IOL4" s="2"/>
      <c r="ION4" s="2"/>
      <c r="IOP4" s="2"/>
      <c r="IOR4" s="2"/>
      <c r="IOT4" s="2"/>
      <c r="IOV4" s="2"/>
      <c r="IOX4" s="2"/>
      <c r="IOZ4" s="2"/>
      <c r="IPB4" s="2"/>
      <c r="IPD4" s="2"/>
      <c r="IPF4" s="2"/>
      <c r="IPH4" s="2"/>
      <c r="IPJ4" s="2"/>
      <c r="IPL4" s="2"/>
      <c r="IPN4" s="2"/>
      <c r="IPP4" s="2"/>
      <c r="IPR4" s="2"/>
      <c r="IPT4" s="2"/>
      <c r="IPV4" s="2"/>
      <c r="IPX4" s="2"/>
      <c r="IPZ4" s="2"/>
      <c r="IQB4" s="2"/>
      <c r="IQD4" s="2"/>
      <c r="IQF4" s="2"/>
      <c r="IQH4" s="2"/>
      <c r="IQJ4" s="2"/>
      <c r="IQL4" s="2"/>
      <c r="IQN4" s="2"/>
      <c r="IQP4" s="2"/>
      <c r="IQR4" s="2"/>
      <c r="IQT4" s="2"/>
      <c r="IQV4" s="2"/>
      <c r="IQX4" s="2"/>
      <c r="IQZ4" s="2"/>
      <c r="IRB4" s="2"/>
      <c r="IRD4" s="2"/>
      <c r="IRF4" s="2"/>
      <c r="IRH4" s="2"/>
      <c r="IRJ4" s="2"/>
      <c r="IRL4" s="2"/>
      <c r="IRN4" s="2"/>
      <c r="IRP4" s="2"/>
      <c r="IRR4" s="2"/>
      <c r="IRT4" s="2"/>
      <c r="IRV4" s="2"/>
      <c r="IRX4" s="2"/>
      <c r="IRZ4" s="2"/>
      <c r="ISB4" s="2"/>
      <c r="ISD4" s="2"/>
      <c r="ISF4" s="2"/>
      <c r="ISH4" s="2"/>
      <c r="ISJ4" s="2"/>
      <c r="ISL4" s="2"/>
      <c r="ISN4" s="2"/>
      <c r="ISP4" s="2"/>
      <c r="ISR4" s="2"/>
      <c r="IST4" s="2"/>
      <c r="ISV4" s="2"/>
      <c r="ISX4" s="2"/>
      <c r="ISZ4" s="2"/>
      <c r="ITB4" s="2"/>
      <c r="ITD4" s="2"/>
      <c r="ITF4" s="2"/>
      <c r="ITH4" s="2"/>
      <c r="ITJ4" s="2"/>
      <c r="ITL4" s="2"/>
      <c r="ITN4" s="2"/>
      <c r="ITP4" s="2"/>
      <c r="ITR4" s="2"/>
      <c r="ITT4" s="2"/>
      <c r="ITV4" s="2"/>
      <c r="ITX4" s="2"/>
      <c r="ITZ4" s="2"/>
      <c r="IUB4" s="2"/>
      <c r="IUD4" s="2"/>
      <c r="IUF4" s="2"/>
      <c r="IUH4" s="2"/>
      <c r="IUJ4" s="2"/>
      <c r="IUL4" s="2"/>
      <c r="IUN4" s="2"/>
      <c r="IUP4" s="2"/>
      <c r="IUR4" s="2"/>
      <c r="IUT4" s="2"/>
      <c r="IUV4" s="2"/>
      <c r="IUX4" s="2"/>
      <c r="IUZ4" s="2"/>
      <c r="IVB4" s="2"/>
      <c r="IVD4" s="2"/>
      <c r="IVF4" s="2"/>
      <c r="IVH4" s="2"/>
      <c r="IVJ4" s="2"/>
      <c r="IVL4" s="2"/>
      <c r="IVN4" s="2"/>
      <c r="IVP4" s="2"/>
      <c r="IVR4" s="2"/>
      <c r="IVT4" s="2"/>
      <c r="IVV4" s="2"/>
      <c r="IVX4" s="2"/>
      <c r="IVZ4" s="2"/>
      <c r="IWB4" s="2"/>
      <c r="IWD4" s="2"/>
      <c r="IWF4" s="2"/>
      <c r="IWH4" s="2"/>
      <c r="IWJ4" s="2"/>
      <c r="IWL4" s="2"/>
      <c r="IWN4" s="2"/>
      <c r="IWP4" s="2"/>
      <c r="IWR4" s="2"/>
      <c r="IWT4" s="2"/>
      <c r="IWV4" s="2"/>
      <c r="IWX4" s="2"/>
      <c r="IWZ4" s="2"/>
      <c r="IXB4" s="2"/>
      <c r="IXD4" s="2"/>
      <c r="IXF4" s="2"/>
      <c r="IXH4" s="2"/>
      <c r="IXJ4" s="2"/>
      <c r="IXL4" s="2"/>
      <c r="IXN4" s="2"/>
      <c r="IXP4" s="2"/>
      <c r="IXR4" s="2"/>
      <c r="IXT4" s="2"/>
      <c r="IXV4" s="2"/>
      <c r="IXX4" s="2"/>
      <c r="IXZ4" s="2"/>
      <c r="IYB4" s="2"/>
      <c r="IYD4" s="2"/>
      <c r="IYF4" s="2"/>
      <c r="IYH4" s="2"/>
      <c r="IYJ4" s="2"/>
      <c r="IYL4" s="2"/>
      <c r="IYN4" s="2"/>
      <c r="IYP4" s="2"/>
      <c r="IYR4" s="2"/>
      <c r="IYT4" s="2"/>
      <c r="IYV4" s="2"/>
      <c r="IYX4" s="2"/>
      <c r="IYZ4" s="2"/>
      <c r="IZB4" s="2"/>
      <c r="IZD4" s="2"/>
      <c r="IZF4" s="2"/>
      <c r="IZH4" s="2"/>
      <c r="IZJ4" s="2"/>
      <c r="IZL4" s="2"/>
      <c r="IZN4" s="2"/>
      <c r="IZP4" s="2"/>
      <c r="IZR4" s="2"/>
      <c r="IZT4" s="2"/>
      <c r="IZV4" s="2"/>
      <c r="IZX4" s="2"/>
      <c r="IZZ4" s="2"/>
      <c r="JAB4" s="2"/>
      <c r="JAD4" s="2"/>
      <c r="JAF4" s="2"/>
      <c r="JAH4" s="2"/>
      <c r="JAJ4" s="2"/>
      <c r="JAL4" s="2"/>
      <c r="JAN4" s="2"/>
      <c r="JAP4" s="2"/>
      <c r="JAR4" s="2"/>
      <c r="JAT4" s="2"/>
      <c r="JAV4" s="2"/>
      <c r="JAX4" s="2"/>
      <c r="JAZ4" s="2"/>
      <c r="JBB4" s="2"/>
      <c r="JBD4" s="2"/>
      <c r="JBF4" s="2"/>
      <c r="JBH4" s="2"/>
      <c r="JBJ4" s="2"/>
      <c r="JBL4" s="2"/>
      <c r="JBN4" s="2"/>
      <c r="JBP4" s="2"/>
      <c r="JBR4" s="2"/>
      <c r="JBT4" s="2"/>
      <c r="JBV4" s="2"/>
      <c r="JBX4" s="2"/>
      <c r="JBZ4" s="2"/>
      <c r="JCB4" s="2"/>
      <c r="JCD4" s="2"/>
      <c r="JCF4" s="2"/>
      <c r="JCH4" s="2"/>
      <c r="JCJ4" s="2"/>
      <c r="JCL4" s="2"/>
      <c r="JCN4" s="2"/>
      <c r="JCP4" s="2"/>
      <c r="JCR4" s="2"/>
      <c r="JCT4" s="2"/>
      <c r="JCV4" s="2"/>
      <c r="JCX4" s="2"/>
      <c r="JCZ4" s="2"/>
      <c r="JDB4" s="2"/>
      <c r="JDD4" s="2"/>
      <c r="JDF4" s="2"/>
      <c r="JDH4" s="2"/>
      <c r="JDJ4" s="2"/>
      <c r="JDL4" s="2"/>
      <c r="JDN4" s="2"/>
      <c r="JDP4" s="2"/>
      <c r="JDR4" s="2"/>
      <c r="JDT4" s="2"/>
      <c r="JDV4" s="2"/>
      <c r="JDX4" s="2"/>
      <c r="JDZ4" s="2"/>
      <c r="JEB4" s="2"/>
      <c r="JED4" s="2"/>
      <c r="JEF4" s="2"/>
      <c r="JEH4" s="2"/>
      <c r="JEJ4" s="2"/>
      <c r="JEL4" s="2"/>
      <c r="JEN4" s="2"/>
      <c r="JEP4" s="2"/>
      <c r="JER4" s="2"/>
      <c r="JET4" s="2"/>
      <c r="JEV4" s="2"/>
      <c r="JEX4" s="2"/>
      <c r="JEZ4" s="2"/>
      <c r="JFB4" s="2"/>
      <c r="JFD4" s="2"/>
      <c r="JFF4" s="2"/>
      <c r="JFH4" s="2"/>
      <c r="JFJ4" s="2"/>
      <c r="JFL4" s="2"/>
      <c r="JFN4" s="2"/>
      <c r="JFP4" s="2"/>
      <c r="JFR4" s="2"/>
      <c r="JFT4" s="2"/>
      <c r="JFV4" s="2"/>
      <c r="JFX4" s="2"/>
      <c r="JFZ4" s="2"/>
      <c r="JGB4" s="2"/>
      <c r="JGD4" s="2"/>
      <c r="JGF4" s="2"/>
      <c r="JGH4" s="2"/>
      <c r="JGJ4" s="2"/>
      <c r="JGL4" s="2"/>
      <c r="JGN4" s="2"/>
      <c r="JGP4" s="2"/>
      <c r="JGR4" s="2"/>
      <c r="JGT4" s="2"/>
      <c r="JGV4" s="2"/>
      <c r="JGX4" s="2"/>
      <c r="JGZ4" s="2"/>
      <c r="JHB4" s="2"/>
      <c r="JHD4" s="2"/>
      <c r="JHF4" s="2"/>
      <c r="JHH4" s="2"/>
      <c r="JHJ4" s="2"/>
      <c r="JHL4" s="2"/>
      <c r="JHN4" s="2"/>
      <c r="JHP4" s="2"/>
      <c r="JHR4" s="2"/>
      <c r="JHT4" s="2"/>
      <c r="JHV4" s="2"/>
      <c r="JHX4" s="2"/>
      <c r="JHZ4" s="2"/>
      <c r="JIB4" s="2"/>
      <c r="JID4" s="2"/>
      <c r="JIF4" s="2"/>
      <c r="JIH4" s="2"/>
      <c r="JIJ4" s="2"/>
      <c r="JIL4" s="2"/>
      <c r="JIN4" s="2"/>
      <c r="JIP4" s="2"/>
      <c r="JIR4" s="2"/>
      <c r="JIT4" s="2"/>
      <c r="JIV4" s="2"/>
      <c r="JIX4" s="2"/>
      <c r="JIZ4" s="2"/>
      <c r="JJB4" s="2"/>
      <c r="JJD4" s="2"/>
      <c r="JJF4" s="2"/>
      <c r="JJH4" s="2"/>
      <c r="JJJ4" s="2"/>
      <c r="JJL4" s="2"/>
      <c r="JJN4" s="2"/>
      <c r="JJP4" s="2"/>
      <c r="JJR4" s="2"/>
      <c r="JJT4" s="2"/>
      <c r="JJV4" s="2"/>
      <c r="JJX4" s="2"/>
      <c r="JJZ4" s="2"/>
      <c r="JKB4" s="2"/>
      <c r="JKD4" s="2"/>
      <c r="JKF4" s="2"/>
      <c r="JKH4" s="2"/>
      <c r="JKJ4" s="2"/>
      <c r="JKL4" s="2"/>
      <c r="JKN4" s="2"/>
      <c r="JKP4" s="2"/>
      <c r="JKR4" s="2"/>
      <c r="JKT4" s="2"/>
      <c r="JKV4" s="2"/>
      <c r="JKX4" s="2"/>
      <c r="JKZ4" s="2"/>
      <c r="JLB4" s="2"/>
      <c r="JLD4" s="2"/>
      <c r="JLF4" s="2"/>
      <c r="JLH4" s="2"/>
      <c r="JLJ4" s="2"/>
      <c r="JLL4" s="2"/>
      <c r="JLN4" s="2"/>
      <c r="JLP4" s="2"/>
      <c r="JLR4" s="2"/>
      <c r="JLT4" s="2"/>
      <c r="JLV4" s="2"/>
      <c r="JLX4" s="2"/>
      <c r="JLZ4" s="2"/>
      <c r="JMB4" s="2"/>
      <c r="JMD4" s="2"/>
      <c r="JMF4" s="2"/>
      <c r="JMH4" s="2"/>
      <c r="JMJ4" s="2"/>
      <c r="JML4" s="2"/>
      <c r="JMN4" s="2"/>
      <c r="JMP4" s="2"/>
      <c r="JMR4" s="2"/>
      <c r="JMT4" s="2"/>
      <c r="JMV4" s="2"/>
      <c r="JMX4" s="2"/>
      <c r="JMZ4" s="2"/>
      <c r="JNB4" s="2"/>
      <c r="JND4" s="2"/>
      <c r="JNF4" s="2"/>
      <c r="JNH4" s="2"/>
      <c r="JNJ4" s="2"/>
      <c r="JNL4" s="2"/>
      <c r="JNN4" s="2"/>
      <c r="JNP4" s="2"/>
      <c r="JNR4" s="2"/>
      <c r="JNT4" s="2"/>
      <c r="JNV4" s="2"/>
      <c r="JNX4" s="2"/>
      <c r="JNZ4" s="2"/>
      <c r="JOB4" s="2"/>
      <c r="JOD4" s="2"/>
      <c r="JOF4" s="2"/>
      <c r="JOH4" s="2"/>
      <c r="JOJ4" s="2"/>
      <c r="JOL4" s="2"/>
      <c r="JON4" s="2"/>
      <c r="JOP4" s="2"/>
      <c r="JOR4" s="2"/>
      <c r="JOT4" s="2"/>
      <c r="JOV4" s="2"/>
      <c r="JOX4" s="2"/>
      <c r="JOZ4" s="2"/>
      <c r="JPB4" s="2"/>
      <c r="JPD4" s="2"/>
      <c r="JPF4" s="2"/>
      <c r="JPH4" s="2"/>
      <c r="JPJ4" s="2"/>
      <c r="JPL4" s="2"/>
      <c r="JPN4" s="2"/>
      <c r="JPP4" s="2"/>
      <c r="JPR4" s="2"/>
      <c r="JPT4" s="2"/>
      <c r="JPV4" s="2"/>
      <c r="JPX4" s="2"/>
      <c r="JPZ4" s="2"/>
      <c r="JQB4" s="2"/>
      <c r="JQD4" s="2"/>
      <c r="JQF4" s="2"/>
      <c r="JQH4" s="2"/>
      <c r="JQJ4" s="2"/>
      <c r="JQL4" s="2"/>
      <c r="JQN4" s="2"/>
      <c r="JQP4" s="2"/>
      <c r="JQR4" s="2"/>
      <c r="JQT4" s="2"/>
      <c r="JQV4" s="2"/>
      <c r="JQX4" s="2"/>
      <c r="JQZ4" s="2"/>
      <c r="JRB4" s="2"/>
      <c r="JRD4" s="2"/>
      <c r="JRF4" s="2"/>
      <c r="JRH4" s="2"/>
      <c r="JRJ4" s="2"/>
      <c r="JRL4" s="2"/>
      <c r="JRN4" s="2"/>
      <c r="JRP4" s="2"/>
      <c r="JRR4" s="2"/>
      <c r="JRT4" s="2"/>
      <c r="JRV4" s="2"/>
      <c r="JRX4" s="2"/>
      <c r="JRZ4" s="2"/>
      <c r="JSB4" s="2"/>
      <c r="JSD4" s="2"/>
      <c r="JSF4" s="2"/>
      <c r="JSH4" s="2"/>
      <c r="JSJ4" s="2"/>
      <c r="JSL4" s="2"/>
      <c r="JSN4" s="2"/>
      <c r="JSP4" s="2"/>
      <c r="JSR4" s="2"/>
      <c r="JST4" s="2"/>
      <c r="JSV4" s="2"/>
      <c r="JSX4" s="2"/>
      <c r="JSZ4" s="2"/>
      <c r="JTB4" s="2"/>
      <c r="JTD4" s="2"/>
      <c r="JTF4" s="2"/>
      <c r="JTH4" s="2"/>
      <c r="JTJ4" s="2"/>
      <c r="JTL4" s="2"/>
      <c r="JTN4" s="2"/>
      <c r="JTP4" s="2"/>
      <c r="JTR4" s="2"/>
      <c r="JTT4" s="2"/>
      <c r="JTV4" s="2"/>
      <c r="JTX4" s="2"/>
      <c r="JTZ4" s="2"/>
      <c r="JUB4" s="2"/>
      <c r="JUD4" s="2"/>
      <c r="JUF4" s="2"/>
      <c r="JUH4" s="2"/>
      <c r="JUJ4" s="2"/>
      <c r="JUL4" s="2"/>
      <c r="JUN4" s="2"/>
      <c r="JUP4" s="2"/>
      <c r="JUR4" s="2"/>
      <c r="JUT4" s="2"/>
      <c r="JUV4" s="2"/>
      <c r="JUX4" s="2"/>
      <c r="JUZ4" s="2"/>
      <c r="JVB4" s="2"/>
      <c r="JVD4" s="2"/>
      <c r="JVF4" s="2"/>
      <c r="JVH4" s="2"/>
      <c r="JVJ4" s="2"/>
      <c r="JVL4" s="2"/>
      <c r="JVN4" s="2"/>
      <c r="JVP4" s="2"/>
      <c r="JVR4" s="2"/>
      <c r="JVT4" s="2"/>
      <c r="JVV4" s="2"/>
      <c r="JVX4" s="2"/>
      <c r="JVZ4" s="2"/>
      <c r="JWB4" s="2"/>
      <c r="JWD4" s="2"/>
      <c r="JWF4" s="2"/>
      <c r="JWH4" s="2"/>
      <c r="JWJ4" s="2"/>
      <c r="JWL4" s="2"/>
      <c r="JWN4" s="2"/>
      <c r="JWP4" s="2"/>
      <c r="JWR4" s="2"/>
      <c r="JWT4" s="2"/>
      <c r="JWV4" s="2"/>
      <c r="JWX4" s="2"/>
      <c r="JWZ4" s="2"/>
      <c r="JXB4" s="2"/>
      <c r="JXD4" s="2"/>
      <c r="JXF4" s="2"/>
      <c r="JXH4" s="2"/>
      <c r="JXJ4" s="2"/>
      <c r="JXL4" s="2"/>
      <c r="JXN4" s="2"/>
      <c r="JXP4" s="2"/>
      <c r="JXR4" s="2"/>
      <c r="JXT4" s="2"/>
      <c r="JXV4" s="2"/>
      <c r="JXX4" s="2"/>
      <c r="JXZ4" s="2"/>
      <c r="JYB4" s="2"/>
      <c r="JYD4" s="2"/>
      <c r="JYF4" s="2"/>
      <c r="JYH4" s="2"/>
      <c r="JYJ4" s="2"/>
      <c r="JYL4" s="2"/>
      <c r="JYN4" s="2"/>
      <c r="JYP4" s="2"/>
      <c r="JYR4" s="2"/>
      <c r="JYT4" s="2"/>
      <c r="JYV4" s="2"/>
      <c r="JYX4" s="2"/>
      <c r="JYZ4" s="2"/>
      <c r="JZB4" s="2"/>
      <c r="JZD4" s="2"/>
      <c r="JZF4" s="2"/>
      <c r="JZH4" s="2"/>
      <c r="JZJ4" s="2"/>
      <c r="JZL4" s="2"/>
      <c r="JZN4" s="2"/>
      <c r="JZP4" s="2"/>
      <c r="JZR4" s="2"/>
      <c r="JZT4" s="2"/>
      <c r="JZV4" s="2"/>
      <c r="JZX4" s="2"/>
      <c r="JZZ4" s="2"/>
      <c r="KAB4" s="2"/>
      <c r="KAD4" s="2"/>
      <c r="KAF4" s="2"/>
      <c r="KAH4" s="2"/>
      <c r="KAJ4" s="2"/>
      <c r="KAL4" s="2"/>
      <c r="KAN4" s="2"/>
      <c r="KAP4" s="2"/>
      <c r="KAR4" s="2"/>
      <c r="KAT4" s="2"/>
      <c r="KAV4" s="2"/>
      <c r="KAX4" s="2"/>
      <c r="KAZ4" s="2"/>
      <c r="KBB4" s="2"/>
      <c r="KBD4" s="2"/>
      <c r="KBF4" s="2"/>
      <c r="KBH4" s="2"/>
      <c r="KBJ4" s="2"/>
      <c r="KBL4" s="2"/>
      <c r="KBN4" s="2"/>
      <c r="KBP4" s="2"/>
      <c r="KBR4" s="2"/>
      <c r="KBT4" s="2"/>
      <c r="KBV4" s="2"/>
      <c r="KBX4" s="2"/>
      <c r="KBZ4" s="2"/>
      <c r="KCB4" s="2"/>
      <c r="KCD4" s="2"/>
      <c r="KCF4" s="2"/>
      <c r="KCH4" s="2"/>
      <c r="KCJ4" s="2"/>
      <c r="KCL4" s="2"/>
      <c r="KCN4" s="2"/>
      <c r="KCP4" s="2"/>
      <c r="KCR4" s="2"/>
      <c r="KCT4" s="2"/>
      <c r="KCV4" s="2"/>
      <c r="KCX4" s="2"/>
      <c r="KCZ4" s="2"/>
      <c r="KDB4" s="2"/>
      <c r="KDD4" s="2"/>
      <c r="KDF4" s="2"/>
      <c r="KDH4" s="2"/>
      <c r="KDJ4" s="2"/>
      <c r="KDL4" s="2"/>
      <c r="KDN4" s="2"/>
      <c r="KDP4" s="2"/>
      <c r="KDR4" s="2"/>
      <c r="KDT4" s="2"/>
      <c r="KDV4" s="2"/>
      <c r="KDX4" s="2"/>
      <c r="KDZ4" s="2"/>
      <c r="KEB4" s="2"/>
      <c r="KED4" s="2"/>
      <c r="KEF4" s="2"/>
      <c r="KEH4" s="2"/>
      <c r="KEJ4" s="2"/>
      <c r="KEL4" s="2"/>
      <c r="KEN4" s="2"/>
      <c r="KEP4" s="2"/>
      <c r="KER4" s="2"/>
      <c r="KET4" s="2"/>
      <c r="KEV4" s="2"/>
      <c r="KEX4" s="2"/>
      <c r="KEZ4" s="2"/>
      <c r="KFB4" s="2"/>
      <c r="KFD4" s="2"/>
      <c r="KFF4" s="2"/>
      <c r="KFH4" s="2"/>
      <c r="KFJ4" s="2"/>
      <c r="KFL4" s="2"/>
      <c r="KFN4" s="2"/>
      <c r="KFP4" s="2"/>
      <c r="KFR4" s="2"/>
      <c r="KFT4" s="2"/>
      <c r="KFV4" s="2"/>
      <c r="KFX4" s="2"/>
      <c r="KFZ4" s="2"/>
      <c r="KGB4" s="2"/>
      <c r="KGD4" s="2"/>
      <c r="KGF4" s="2"/>
      <c r="KGH4" s="2"/>
      <c r="KGJ4" s="2"/>
      <c r="KGL4" s="2"/>
      <c r="KGN4" s="2"/>
      <c r="KGP4" s="2"/>
      <c r="KGR4" s="2"/>
      <c r="KGT4" s="2"/>
      <c r="KGV4" s="2"/>
      <c r="KGX4" s="2"/>
      <c r="KGZ4" s="2"/>
      <c r="KHB4" s="2"/>
      <c r="KHD4" s="2"/>
      <c r="KHF4" s="2"/>
      <c r="KHH4" s="2"/>
      <c r="KHJ4" s="2"/>
      <c r="KHL4" s="2"/>
      <c r="KHN4" s="2"/>
      <c r="KHP4" s="2"/>
      <c r="KHR4" s="2"/>
      <c r="KHT4" s="2"/>
      <c r="KHV4" s="2"/>
      <c r="KHX4" s="2"/>
      <c r="KHZ4" s="2"/>
      <c r="KIB4" s="2"/>
      <c r="KID4" s="2"/>
      <c r="KIF4" s="2"/>
      <c r="KIH4" s="2"/>
      <c r="KIJ4" s="2"/>
      <c r="KIL4" s="2"/>
      <c r="KIN4" s="2"/>
      <c r="KIP4" s="2"/>
      <c r="KIR4" s="2"/>
      <c r="KIT4" s="2"/>
      <c r="KIV4" s="2"/>
      <c r="KIX4" s="2"/>
      <c r="KIZ4" s="2"/>
      <c r="KJB4" s="2"/>
      <c r="KJD4" s="2"/>
      <c r="KJF4" s="2"/>
      <c r="KJH4" s="2"/>
      <c r="KJJ4" s="2"/>
      <c r="KJL4" s="2"/>
      <c r="KJN4" s="2"/>
      <c r="KJP4" s="2"/>
      <c r="KJR4" s="2"/>
      <c r="KJT4" s="2"/>
      <c r="KJV4" s="2"/>
      <c r="KJX4" s="2"/>
      <c r="KJZ4" s="2"/>
      <c r="KKB4" s="2"/>
      <c r="KKD4" s="2"/>
      <c r="KKF4" s="2"/>
      <c r="KKH4" s="2"/>
      <c r="KKJ4" s="2"/>
      <c r="KKL4" s="2"/>
      <c r="KKN4" s="2"/>
      <c r="KKP4" s="2"/>
      <c r="KKR4" s="2"/>
      <c r="KKT4" s="2"/>
      <c r="KKV4" s="2"/>
      <c r="KKX4" s="2"/>
      <c r="KKZ4" s="2"/>
      <c r="KLB4" s="2"/>
      <c r="KLD4" s="2"/>
      <c r="KLF4" s="2"/>
      <c r="KLH4" s="2"/>
      <c r="KLJ4" s="2"/>
      <c r="KLL4" s="2"/>
      <c r="KLN4" s="2"/>
      <c r="KLP4" s="2"/>
      <c r="KLR4" s="2"/>
      <c r="KLT4" s="2"/>
      <c r="KLV4" s="2"/>
      <c r="KLX4" s="2"/>
      <c r="KLZ4" s="2"/>
      <c r="KMB4" s="2"/>
      <c r="KMD4" s="2"/>
      <c r="KMF4" s="2"/>
      <c r="KMH4" s="2"/>
      <c r="KMJ4" s="2"/>
      <c r="KML4" s="2"/>
      <c r="KMN4" s="2"/>
      <c r="KMP4" s="2"/>
      <c r="KMR4" s="2"/>
      <c r="KMT4" s="2"/>
      <c r="KMV4" s="2"/>
      <c r="KMX4" s="2"/>
      <c r="KMZ4" s="2"/>
      <c r="KNB4" s="2"/>
      <c r="KND4" s="2"/>
      <c r="KNF4" s="2"/>
      <c r="KNH4" s="2"/>
      <c r="KNJ4" s="2"/>
      <c r="KNL4" s="2"/>
      <c r="KNN4" s="2"/>
      <c r="KNP4" s="2"/>
      <c r="KNR4" s="2"/>
      <c r="KNT4" s="2"/>
      <c r="KNV4" s="2"/>
      <c r="KNX4" s="2"/>
      <c r="KNZ4" s="2"/>
      <c r="KOB4" s="2"/>
      <c r="KOD4" s="2"/>
      <c r="KOF4" s="2"/>
      <c r="KOH4" s="2"/>
      <c r="KOJ4" s="2"/>
      <c r="KOL4" s="2"/>
      <c r="KON4" s="2"/>
      <c r="KOP4" s="2"/>
      <c r="KOR4" s="2"/>
      <c r="KOT4" s="2"/>
      <c r="KOV4" s="2"/>
      <c r="KOX4" s="2"/>
      <c r="KOZ4" s="2"/>
      <c r="KPB4" s="2"/>
      <c r="KPD4" s="2"/>
      <c r="KPF4" s="2"/>
      <c r="KPH4" s="2"/>
      <c r="KPJ4" s="2"/>
      <c r="KPL4" s="2"/>
      <c r="KPN4" s="2"/>
      <c r="KPP4" s="2"/>
      <c r="KPR4" s="2"/>
      <c r="KPT4" s="2"/>
      <c r="KPV4" s="2"/>
      <c r="KPX4" s="2"/>
      <c r="KPZ4" s="2"/>
      <c r="KQB4" s="2"/>
      <c r="KQD4" s="2"/>
      <c r="KQF4" s="2"/>
      <c r="KQH4" s="2"/>
      <c r="KQJ4" s="2"/>
      <c r="KQL4" s="2"/>
      <c r="KQN4" s="2"/>
      <c r="KQP4" s="2"/>
      <c r="KQR4" s="2"/>
      <c r="KQT4" s="2"/>
      <c r="KQV4" s="2"/>
      <c r="KQX4" s="2"/>
      <c r="KQZ4" s="2"/>
      <c r="KRB4" s="2"/>
      <c r="KRD4" s="2"/>
      <c r="KRF4" s="2"/>
      <c r="KRH4" s="2"/>
      <c r="KRJ4" s="2"/>
      <c r="KRL4" s="2"/>
      <c r="KRN4" s="2"/>
      <c r="KRP4" s="2"/>
      <c r="KRR4" s="2"/>
      <c r="KRT4" s="2"/>
      <c r="KRV4" s="2"/>
      <c r="KRX4" s="2"/>
      <c r="KRZ4" s="2"/>
      <c r="KSB4" s="2"/>
      <c r="KSD4" s="2"/>
      <c r="KSF4" s="2"/>
      <c r="KSH4" s="2"/>
      <c r="KSJ4" s="2"/>
      <c r="KSL4" s="2"/>
      <c r="KSN4" s="2"/>
      <c r="KSP4" s="2"/>
      <c r="KSR4" s="2"/>
      <c r="KST4" s="2"/>
      <c r="KSV4" s="2"/>
      <c r="KSX4" s="2"/>
      <c r="KSZ4" s="2"/>
      <c r="KTB4" s="2"/>
      <c r="KTD4" s="2"/>
      <c r="KTF4" s="2"/>
      <c r="KTH4" s="2"/>
      <c r="KTJ4" s="2"/>
      <c r="KTL4" s="2"/>
      <c r="KTN4" s="2"/>
      <c r="KTP4" s="2"/>
      <c r="KTR4" s="2"/>
      <c r="KTT4" s="2"/>
      <c r="KTV4" s="2"/>
      <c r="KTX4" s="2"/>
      <c r="KTZ4" s="2"/>
      <c r="KUB4" s="2"/>
      <c r="KUD4" s="2"/>
      <c r="KUF4" s="2"/>
      <c r="KUH4" s="2"/>
      <c r="KUJ4" s="2"/>
      <c r="KUL4" s="2"/>
      <c r="KUN4" s="2"/>
      <c r="KUP4" s="2"/>
      <c r="KUR4" s="2"/>
      <c r="KUT4" s="2"/>
      <c r="KUV4" s="2"/>
      <c r="KUX4" s="2"/>
      <c r="KUZ4" s="2"/>
      <c r="KVB4" s="2"/>
      <c r="KVD4" s="2"/>
      <c r="KVF4" s="2"/>
      <c r="KVH4" s="2"/>
      <c r="KVJ4" s="2"/>
      <c r="KVL4" s="2"/>
      <c r="KVN4" s="2"/>
      <c r="KVP4" s="2"/>
      <c r="KVR4" s="2"/>
      <c r="KVT4" s="2"/>
      <c r="KVV4" s="2"/>
      <c r="KVX4" s="2"/>
      <c r="KVZ4" s="2"/>
      <c r="KWB4" s="2"/>
      <c r="KWD4" s="2"/>
      <c r="KWF4" s="2"/>
      <c r="KWH4" s="2"/>
      <c r="KWJ4" s="2"/>
      <c r="KWL4" s="2"/>
      <c r="KWN4" s="2"/>
      <c r="KWP4" s="2"/>
      <c r="KWR4" s="2"/>
      <c r="KWT4" s="2"/>
      <c r="KWV4" s="2"/>
      <c r="KWX4" s="2"/>
      <c r="KWZ4" s="2"/>
      <c r="KXB4" s="2"/>
      <c r="KXD4" s="2"/>
      <c r="KXF4" s="2"/>
      <c r="KXH4" s="2"/>
      <c r="KXJ4" s="2"/>
      <c r="KXL4" s="2"/>
      <c r="KXN4" s="2"/>
      <c r="KXP4" s="2"/>
      <c r="KXR4" s="2"/>
      <c r="KXT4" s="2"/>
      <c r="KXV4" s="2"/>
      <c r="KXX4" s="2"/>
      <c r="KXZ4" s="2"/>
      <c r="KYB4" s="2"/>
      <c r="KYD4" s="2"/>
      <c r="KYF4" s="2"/>
      <c r="KYH4" s="2"/>
      <c r="KYJ4" s="2"/>
      <c r="KYL4" s="2"/>
      <c r="KYN4" s="2"/>
      <c r="KYP4" s="2"/>
      <c r="KYR4" s="2"/>
      <c r="KYT4" s="2"/>
      <c r="KYV4" s="2"/>
      <c r="KYX4" s="2"/>
      <c r="KYZ4" s="2"/>
      <c r="KZB4" s="2"/>
      <c r="KZD4" s="2"/>
      <c r="KZF4" s="2"/>
      <c r="KZH4" s="2"/>
      <c r="KZJ4" s="2"/>
      <c r="KZL4" s="2"/>
      <c r="KZN4" s="2"/>
      <c r="KZP4" s="2"/>
      <c r="KZR4" s="2"/>
      <c r="KZT4" s="2"/>
      <c r="KZV4" s="2"/>
      <c r="KZX4" s="2"/>
      <c r="KZZ4" s="2"/>
      <c r="LAB4" s="2"/>
      <c r="LAD4" s="2"/>
      <c r="LAF4" s="2"/>
      <c r="LAH4" s="2"/>
      <c r="LAJ4" s="2"/>
      <c r="LAL4" s="2"/>
      <c r="LAN4" s="2"/>
      <c r="LAP4" s="2"/>
      <c r="LAR4" s="2"/>
      <c r="LAT4" s="2"/>
      <c r="LAV4" s="2"/>
      <c r="LAX4" s="2"/>
      <c r="LAZ4" s="2"/>
      <c r="LBB4" s="2"/>
      <c r="LBD4" s="2"/>
      <c r="LBF4" s="2"/>
      <c r="LBH4" s="2"/>
      <c r="LBJ4" s="2"/>
      <c r="LBL4" s="2"/>
      <c r="LBN4" s="2"/>
      <c r="LBP4" s="2"/>
      <c r="LBR4" s="2"/>
      <c r="LBT4" s="2"/>
      <c r="LBV4" s="2"/>
      <c r="LBX4" s="2"/>
      <c r="LBZ4" s="2"/>
      <c r="LCB4" s="2"/>
      <c r="LCD4" s="2"/>
      <c r="LCF4" s="2"/>
      <c r="LCH4" s="2"/>
      <c r="LCJ4" s="2"/>
      <c r="LCL4" s="2"/>
      <c r="LCN4" s="2"/>
      <c r="LCP4" s="2"/>
      <c r="LCR4" s="2"/>
      <c r="LCT4" s="2"/>
      <c r="LCV4" s="2"/>
      <c r="LCX4" s="2"/>
      <c r="LCZ4" s="2"/>
      <c r="LDB4" s="2"/>
      <c r="LDD4" s="2"/>
      <c r="LDF4" s="2"/>
      <c r="LDH4" s="2"/>
      <c r="LDJ4" s="2"/>
      <c r="LDL4" s="2"/>
      <c r="LDN4" s="2"/>
      <c r="LDP4" s="2"/>
      <c r="LDR4" s="2"/>
      <c r="LDT4" s="2"/>
      <c r="LDV4" s="2"/>
      <c r="LDX4" s="2"/>
      <c r="LDZ4" s="2"/>
      <c r="LEB4" s="2"/>
      <c r="LED4" s="2"/>
      <c r="LEF4" s="2"/>
      <c r="LEH4" s="2"/>
      <c r="LEJ4" s="2"/>
      <c r="LEL4" s="2"/>
      <c r="LEN4" s="2"/>
      <c r="LEP4" s="2"/>
      <c r="LER4" s="2"/>
      <c r="LET4" s="2"/>
      <c r="LEV4" s="2"/>
      <c r="LEX4" s="2"/>
      <c r="LEZ4" s="2"/>
      <c r="LFB4" s="2"/>
      <c r="LFD4" s="2"/>
      <c r="LFF4" s="2"/>
      <c r="LFH4" s="2"/>
      <c r="LFJ4" s="2"/>
      <c r="LFL4" s="2"/>
      <c r="LFN4" s="2"/>
      <c r="LFP4" s="2"/>
      <c r="LFR4" s="2"/>
      <c r="LFT4" s="2"/>
      <c r="LFV4" s="2"/>
      <c r="LFX4" s="2"/>
      <c r="LFZ4" s="2"/>
      <c r="LGB4" s="2"/>
      <c r="LGD4" s="2"/>
      <c r="LGF4" s="2"/>
      <c r="LGH4" s="2"/>
      <c r="LGJ4" s="2"/>
      <c r="LGL4" s="2"/>
      <c r="LGN4" s="2"/>
      <c r="LGP4" s="2"/>
      <c r="LGR4" s="2"/>
      <c r="LGT4" s="2"/>
      <c r="LGV4" s="2"/>
      <c r="LGX4" s="2"/>
      <c r="LGZ4" s="2"/>
      <c r="LHB4" s="2"/>
      <c r="LHD4" s="2"/>
      <c r="LHF4" s="2"/>
      <c r="LHH4" s="2"/>
      <c r="LHJ4" s="2"/>
      <c r="LHL4" s="2"/>
      <c r="LHN4" s="2"/>
      <c r="LHP4" s="2"/>
      <c r="LHR4" s="2"/>
      <c r="LHT4" s="2"/>
      <c r="LHV4" s="2"/>
      <c r="LHX4" s="2"/>
      <c r="LHZ4" s="2"/>
      <c r="LIB4" s="2"/>
      <c r="LID4" s="2"/>
      <c r="LIF4" s="2"/>
      <c r="LIH4" s="2"/>
      <c r="LIJ4" s="2"/>
      <c r="LIL4" s="2"/>
      <c r="LIN4" s="2"/>
      <c r="LIP4" s="2"/>
      <c r="LIR4" s="2"/>
      <c r="LIT4" s="2"/>
      <c r="LIV4" s="2"/>
      <c r="LIX4" s="2"/>
      <c r="LIZ4" s="2"/>
      <c r="LJB4" s="2"/>
      <c r="LJD4" s="2"/>
      <c r="LJF4" s="2"/>
      <c r="LJH4" s="2"/>
      <c r="LJJ4" s="2"/>
      <c r="LJL4" s="2"/>
      <c r="LJN4" s="2"/>
      <c r="LJP4" s="2"/>
      <c r="LJR4" s="2"/>
      <c r="LJT4" s="2"/>
      <c r="LJV4" s="2"/>
      <c r="LJX4" s="2"/>
      <c r="LJZ4" s="2"/>
      <c r="LKB4" s="2"/>
      <c r="LKD4" s="2"/>
      <c r="LKF4" s="2"/>
      <c r="LKH4" s="2"/>
      <c r="LKJ4" s="2"/>
      <c r="LKL4" s="2"/>
      <c r="LKN4" s="2"/>
      <c r="LKP4" s="2"/>
      <c r="LKR4" s="2"/>
      <c r="LKT4" s="2"/>
      <c r="LKV4" s="2"/>
      <c r="LKX4" s="2"/>
      <c r="LKZ4" s="2"/>
      <c r="LLB4" s="2"/>
      <c r="LLD4" s="2"/>
      <c r="LLF4" s="2"/>
      <c r="LLH4" s="2"/>
      <c r="LLJ4" s="2"/>
      <c r="LLL4" s="2"/>
      <c r="LLN4" s="2"/>
      <c r="LLP4" s="2"/>
      <c r="LLR4" s="2"/>
      <c r="LLT4" s="2"/>
      <c r="LLV4" s="2"/>
      <c r="LLX4" s="2"/>
      <c r="LLZ4" s="2"/>
      <c r="LMB4" s="2"/>
      <c r="LMD4" s="2"/>
      <c r="LMF4" s="2"/>
      <c r="LMH4" s="2"/>
      <c r="LMJ4" s="2"/>
      <c r="LML4" s="2"/>
      <c r="LMN4" s="2"/>
      <c r="LMP4" s="2"/>
      <c r="LMR4" s="2"/>
      <c r="LMT4" s="2"/>
      <c r="LMV4" s="2"/>
      <c r="LMX4" s="2"/>
      <c r="LMZ4" s="2"/>
      <c r="LNB4" s="2"/>
      <c r="LND4" s="2"/>
      <c r="LNF4" s="2"/>
      <c r="LNH4" s="2"/>
      <c r="LNJ4" s="2"/>
      <c r="LNL4" s="2"/>
      <c r="LNN4" s="2"/>
      <c r="LNP4" s="2"/>
      <c r="LNR4" s="2"/>
      <c r="LNT4" s="2"/>
      <c r="LNV4" s="2"/>
      <c r="LNX4" s="2"/>
      <c r="LNZ4" s="2"/>
      <c r="LOB4" s="2"/>
      <c r="LOD4" s="2"/>
      <c r="LOF4" s="2"/>
      <c r="LOH4" s="2"/>
      <c r="LOJ4" s="2"/>
      <c r="LOL4" s="2"/>
      <c r="LON4" s="2"/>
      <c r="LOP4" s="2"/>
      <c r="LOR4" s="2"/>
      <c r="LOT4" s="2"/>
      <c r="LOV4" s="2"/>
      <c r="LOX4" s="2"/>
      <c r="LOZ4" s="2"/>
      <c r="LPB4" s="2"/>
      <c r="LPD4" s="2"/>
      <c r="LPF4" s="2"/>
      <c r="LPH4" s="2"/>
      <c r="LPJ4" s="2"/>
      <c r="LPL4" s="2"/>
      <c r="LPN4" s="2"/>
      <c r="LPP4" s="2"/>
      <c r="LPR4" s="2"/>
      <c r="LPT4" s="2"/>
      <c r="LPV4" s="2"/>
      <c r="LPX4" s="2"/>
      <c r="LPZ4" s="2"/>
      <c r="LQB4" s="2"/>
      <c r="LQD4" s="2"/>
      <c r="LQF4" s="2"/>
      <c r="LQH4" s="2"/>
      <c r="LQJ4" s="2"/>
      <c r="LQL4" s="2"/>
      <c r="LQN4" s="2"/>
      <c r="LQP4" s="2"/>
      <c r="LQR4" s="2"/>
      <c r="LQT4" s="2"/>
      <c r="LQV4" s="2"/>
      <c r="LQX4" s="2"/>
      <c r="LQZ4" s="2"/>
      <c r="LRB4" s="2"/>
      <c r="LRD4" s="2"/>
      <c r="LRF4" s="2"/>
      <c r="LRH4" s="2"/>
      <c r="LRJ4" s="2"/>
      <c r="LRL4" s="2"/>
      <c r="LRN4" s="2"/>
      <c r="LRP4" s="2"/>
      <c r="LRR4" s="2"/>
      <c r="LRT4" s="2"/>
      <c r="LRV4" s="2"/>
      <c r="LRX4" s="2"/>
      <c r="LRZ4" s="2"/>
      <c r="LSB4" s="2"/>
      <c r="LSD4" s="2"/>
      <c r="LSF4" s="2"/>
      <c r="LSH4" s="2"/>
      <c r="LSJ4" s="2"/>
      <c r="LSL4" s="2"/>
      <c r="LSN4" s="2"/>
      <c r="LSP4" s="2"/>
      <c r="LSR4" s="2"/>
      <c r="LST4" s="2"/>
      <c r="LSV4" s="2"/>
      <c r="LSX4" s="2"/>
      <c r="LSZ4" s="2"/>
      <c r="LTB4" s="2"/>
      <c r="LTD4" s="2"/>
      <c r="LTF4" s="2"/>
      <c r="LTH4" s="2"/>
      <c r="LTJ4" s="2"/>
      <c r="LTL4" s="2"/>
      <c r="LTN4" s="2"/>
      <c r="LTP4" s="2"/>
      <c r="LTR4" s="2"/>
      <c r="LTT4" s="2"/>
      <c r="LTV4" s="2"/>
      <c r="LTX4" s="2"/>
      <c r="LTZ4" s="2"/>
      <c r="LUB4" s="2"/>
      <c r="LUD4" s="2"/>
      <c r="LUF4" s="2"/>
      <c r="LUH4" s="2"/>
      <c r="LUJ4" s="2"/>
      <c r="LUL4" s="2"/>
      <c r="LUN4" s="2"/>
      <c r="LUP4" s="2"/>
      <c r="LUR4" s="2"/>
      <c r="LUT4" s="2"/>
      <c r="LUV4" s="2"/>
      <c r="LUX4" s="2"/>
      <c r="LUZ4" s="2"/>
      <c r="LVB4" s="2"/>
      <c r="LVD4" s="2"/>
      <c r="LVF4" s="2"/>
      <c r="LVH4" s="2"/>
      <c r="LVJ4" s="2"/>
      <c r="LVL4" s="2"/>
      <c r="LVN4" s="2"/>
      <c r="LVP4" s="2"/>
      <c r="LVR4" s="2"/>
      <c r="LVT4" s="2"/>
      <c r="LVV4" s="2"/>
      <c r="LVX4" s="2"/>
      <c r="LVZ4" s="2"/>
      <c r="LWB4" s="2"/>
      <c r="LWD4" s="2"/>
      <c r="LWF4" s="2"/>
      <c r="LWH4" s="2"/>
      <c r="LWJ4" s="2"/>
      <c r="LWL4" s="2"/>
      <c r="LWN4" s="2"/>
      <c r="LWP4" s="2"/>
      <c r="LWR4" s="2"/>
      <c r="LWT4" s="2"/>
      <c r="LWV4" s="2"/>
      <c r="LWX4" s="2"/>
      <c r="LWZ4" s="2"/>
      <c r="LXB4" s="2"/>
      <c r="LXD4" s="2"/>
      <c r="LXF4" s="2"/>
      <c r="LXH4" s="2"/>
      <c r="LXJ4" s="2"/>
      <c r="LXL4" s="2"/>
      <c r="LXN4" s="2"/>
      <c r="LXP4" s="2"/>
      <c r="LXR4" s="2"/>
      <c r="LXT4" s="2"/>
      <c r="LXV4" s="2"/>
      <c r="LXX4" s="2"/>
      <c r="LXZ4" s="2"/>
      <c r="LYB4" s="2"/>
      <c r="LYD4" s="2"/>
      <c r="LYF4" s="2"/>
      <c r="LYH4" s="2"/>
      <c r="LYJ4" s="2"/>
      <c r="LYL4" s="2"/>
      <c r="LYN4" s="2"/>
      <c r="LYP4" s="2"/>
      <c r="LYR4" s="2"/>
      <c r="LYT4" s="2"/>
      <c r="LYV4" s="2"/>
      <c r="LYX4" s="2"/>
      <c r="LYZ4" s="2"/>
      <c r="LZB4" s="2"/>
      <c r="LZD4" s="2"/>
      <c r="LZF4" s="2"/>
      <c r="LZH4" s="2"/>
      <c r="LZJ4" s="2"/>
      <c r="LZL4" s="2"/>
      <c r="LZN4" s="2"/>
      <c r="LZP4" s="2"/>
      <c r="LZR4" s="2"/>
      <c r="LZT4" s="2"/>
      <c r="LZV4" s="2"/>
      <c r="LZX4" s="2"/>
      <c r="LZZ4" s="2"/>
      <c r="MAB4" s="2"/>
      <c r="MAD4" s="2"/>
      <c r="MAF4" s="2"/>
      <c r="MAH4" s="2"/>
      <c r="MAJ4" s="2"/>
      <c r="MAL4" s="2"/>
      <c r="MAN4" s="2"/>
      <c r="MAP4" s="2"/>
      <c r="MAR4" s="2"/>
      <c r="MAT4" s="2"/>
      <c r="MAV4" s="2"/>
      <c r="MAX4" s="2"/>
      <c r="MAZ4" s="2"/>
      <c r="MBB4" s="2"/>
      <c r="MBD4" s="2"/>
      <c r="MBF4" s="2"/>
      <c r="MBH4" s="2"/>
      <c r="MBJ4" s="2"/>
      <c r="MBL4" s="2"/>
      <c r="MBN4" s="2"/>
      <c r="MBP4" s="2"/>
      <c r="MBR4" s="2"/>
      <c r="MBT4" s="2"/>
      <c r="MBV4" s="2"/>
      <c r="MBX4" s="2"/>
      <c r="MBZ4" s="2"/>
      <c r="MCB4" s="2"/>
      <c r="MCD4" s="2"/>
      <c r="MCF4" s="2"/>
      <c r="MCH4" s="2"/>
      <c r="MCJ4" s="2"/>
      <c r="MCL4" s="2"/>
      <c r="MCN4" s="2"/>
      <c r="MCP4" s="2"/>
      <c r="MCR4" s="2"/>
      <c r="MCT4" s="2"/>
      <c r="MCV4" s="2"/>
      <c r="MCX4" s="2"/>
      <c r="MCZ4" s="2"/>
      <c r="MDB4" s="2"/>
      <c r="MDD4" s="2"/>
      <c r="MDF4" s="2"/>
      <c r="MDH4" s="2"/>
      <c r="MDJ4" s="2"/>
      <c r="MDL4" s="2"/>
      <c r="MDN4" s="2"/>
      <c r="MDP4" s="2"/>
      <c r="MDR4" s="2"/>
      <c r="MDT4" s="2"/>
      <c r="MDV4" s="2"/>
      <c r="MDX4" s="2"/>
      <c r="MDZ4" s="2"/>
      <c r="MEB4" s="2"/>
      <c r="MED4" s="2"/>
      <c r="MEF4" s="2"/>
      <c r="MEH4" s="2"/>
      <c r="MEJ4" s="2"/>
      <c r="MEL4" s="2"/>
      <c r="MEN4" s="2"/>
      <c r="MEP4" s="2"/>
      <c r="MER4" s="2"/>
      <c r="MET4" s="2"/>
      <c r="MEV4" s="2"/>
      <c r="MEX4" s="2"/>
      <c r="MEZ4" s="2"/>
      <c r="MFB4" s="2"/>
      <c r="MFD4" s="2"/>
      <c r="MFF4" s="2"/>
      <c r="MFH4" s="2"/>
      <c r="MFJ4" s="2"/>
      <c r="MFL4" s="2"/>
      <c r="MFN4" s="2"/>
      <c r="MFP4" s="2"/>
      <c r="MFR4" s="2"/>
      <c r="MFT4" s="2"/>
      <c r="MFV4" s="2"/>
      <c r="MFX4" s="2"/>
      <c r="MFZ4" s="2"/>
      <c r="MGB4" s="2"/>
      <c r="MGD4" s="2"/>
      <c r="MGF4" s="2"/>
      <c r="MGH4" s="2"/>
      <c r="MGJ4" s="2"/>
      <c r="MGL4" s="2"/>
      <c r="MGN4" s="2"/>
      <c r="MGP4" s="2"/>
      <c r="MGR4" s="2"/>
      <c r="MGT4" s="2"/>
      <c r="MGV4" s="2"/>
      <c r="MGX4" s="2"/>
      <c r="MGZ4" s="2"/>
      <c r="MHB4" s="2"/>
      <c r="MHD4" s="2"/>
      <c r="MHF4" s="2"/>
      <c r="MHH4" s="2"/>
      <c r="MHJ4" s="2"/>
      <c r="MHL4" s="2"/>
      <c r="MHN4" s="2"/>
      <c r="MHP4" s="2"/>
      <c r="MHR4" s="2"/>
      <c r="MHT4" s="2"/>
      <c r="MHV4" s="2"/>
      <c r="MHX4" s="2"/>
      <c r="MHZ4" s="2"/>
      <c r="MIB4" s="2"/>
      <c r="MID4" s="2"/>
      <c r="MIF4" s="2"/>
      <c r="MIH4" s="2"/>
      <c r="MIJ4" s="2"/>
      <c r="MIL4" s="2"/>
      <c r="MIN4" s="2"/>
      <c r="MIP4" s="2"/>
      <c r="MIR4" s="2"/>
      <c r="MIT4" s="2"/>
      <c r="MIV4" s="2"/>
      <c r="MIX4" s="2"/>
      <c r="MIZ4" s="2"/>
      <c r="MJB4" s="2"/>
      <c r="MJD4" s="2"/>
      <c r="MJF4" s="2"/>
      <c r="MJH4" s="2"/>
      <c r="MJJ4" s="2"/>
      <c r="MJL4" s="2"/>
      <c r="MJN4" s="2"/>
      <c r="MJP4" s="2"/>
      <c r="MJR4" s="2"/>
      <c r="MJT4" s="2"/>
      <c r="MJV4" s="2"/>
      <c r="MJX4" s="2"/>
      <c r="MJZ4" s="2"/>
      <c r="MKB4" s="2"/>
      <c r="MKD4" s="2"/>
      <c r="MKF4" s="2"/>
      <c r="MKH4" s="2"/>
      <c r="MKJ4" s="2"/>
      <c r="MKL4" s="2"/>
      <c r="MKN4" s="2"/>
      <c r="MKP4" s="2"/>
      <c r="MKR4" s="2"/>
      <c r="MKT4" s="2"/>
      <c r="MKV4" s="2"/>
      <c r="MKX4" s="2"/>
      <c r="MKZ4" s="2"/>
      <c r="MLB4" s="2"/>
      <c r="MLD4" s="2"/>
      <c r="MLF4" s="2"/>
      <c r="MLH4" s="2"/>
      <c r="MLJ4" s="2"/>
      <c r="MLL4" s="2"/>
      <c r="MLN4" s="2"/>
      <c r="MLP4" s="2"/>
      <c r="MLR4" s="2"/>
      <c r="MLT4" s="2"/>
      <c r="MLV4" s="2"/>
      <c r="MLX4" s="2"/>
      <c r="MLZ4" s="2"/>
      <c r="MMB4" s="2"/>
      <c r="MMD4" s="2"/>
      <c r="MMF4" s="2"/>
      <c r="MMH4" s="2"/>
      <c r="MMJ4" s="2"/>
      <c r="MML4" s="2"/>
      <c r="MMN4" s="2"/>
      <c r="MMP4" s="2"/>
      <c r="MMR4" s="2"/>
      <c r="MMT4" s="2"/>
      <c r="MMV4" s="2"/>
      <c r="MMX4" s="2"/>
      <c r="MMZ4" s="2"/>
      <c r="MNB4" s="2"/>
      <c r="MND4" s="2"/>
      <c r="MNF4" s="2"/>
      <c r="MNH4" s="2"/>
      <c r="MNJ4" s="2"/>
      <c r="MNL4" s="2"/>
      <c r="MNN4" s="2"/>
      <c r="MNP4" s="2"/>
      <c r="MNR4" s="2"/>
      <c r="MNT4" s="2"/>
      <c r="MNV4" s="2"/>
      <c r="MNX4" s="2"/>
      <c r="MNZ4" s="2"/>
      <c r="MOB4" s="2"/>
      <c r="MOD4" s="2"/>
      <c r="MOF4" s="2"/>
      <c r="MOH4" s="2"/>
      <c r="MOJ4" s="2"/>
      <c r="MOL4" s="2"/>
      <c r="MON4" s="2"/>
      <c r="MOP4" s="2"/>
      <c r="MOR4" s="2"/>
      <c r="MOT4" s="2"/>
      <c r="MOV4" s="2"/>
      <c r="MOX4" s="2"/>
      <c r="MOZ4" s="2"/>
      <c r="MPB4" s="2"/>
      <c r="MPD4" s="2"/>
      <c r="MPF4" s="2"/>
      <c r="MPH4" s="2"/>
      <c r="MPJ4" s="2"/>
      <c r="MPL4" s="2"/>
      <c r="MPN4" s="2"/>
      <c r="MPP4" s="2"/>
      <c r="MPR4" s="2"/>
      <c r="MPT4" s="2"/>
      <c r="MPV4" s="2"/>
      <c r="MPX4" s="2"/>
      <c r="MPZ4" s="2"/>
      <c r="MQB4" s="2"/>
      <c r="MQD4" s="2"/>
      <c r="MQF4" s="2"/>
      <c r="MQH4" s="2"/>
      <c r="MQJ4" s="2"/>
      <c r="MQL4" s="2"/>
      <c r="MQN4" s="2"/>
      <c r="MQP4" s="2"/>
      <c r="MQR4" s="2"/>
      <c r="MQT4" s="2"/>
      <c r="MQV4" s="2"/>
      <c r="MQX4" s="2"/>
      <c r="MQZ4" s="2"/>
      <c r="MRB4" s="2"/>
      <c r="MRD4" s="2"/>
      <c r="MRF4" s="2"/>
      <c r="MRH4" s="2"/>
      <c r="MRJ4" s="2"/>
      <c r="MRL4" s="2"/>
      <c r="MRN4" s="2"/>
      <c r="MRP4" s="2"/>
      <c r="MRR4" s="2"/>
      <c r="MRT4" s="2"/>
      <c r="MRV4" s="2"/>
      <c r="MRX4" s="2"/>
      <c r="MRZ4" s="2"/>
      <c r="MSB4" s="2"/>
      <c r="MSD4" s="2"/>
      <c r="MSF4" s="2"/>
      <c r="MSH4" s="2"/>
      <c r="MSJ4" s="2"/>
      <c r="MSL4" s="2"/>
      <c r="MSN4" s="2"/>
      <c r="MSP4" s="2"/>
      <c r="MSR4" s="2"/>
      <c r="MST4" s="2"/>
      <c r="MSV4" s="2"/>
      <c r="MSX4" s="2"/>
      <c r="MSZ4" s="2"/>
      <c r="MTB4" s="2"/>
      <c r="MTD4" s="2"/>
      <c r="MTF4" s="2"/>
      <c r="MTH4" s="2"/>
      <c r="MTJ4" s="2"/>
      <c r="MTL4" s="2"/>
      <c r="MTN4" s="2"/>
      <c r="MTP4" s="2"/>
      <c r="MTR4" s="2"/>
      <c r="MTT4" s="2"/>
      <c r="MTV4" s="2"/>
      <c r="MTX4" s="2"/>
      <c r="MTZ4" s="2"/>
      <c r="MUB4" s="2"/>
      <c r="MUD4" s="2"/>
      <c r="MUF4" s="2"/>
      <c r="MUH4" s="2"/>
      <c r="MUJ4" s="2"/>
      <c r="MUL4" s="2"/>
      <c r="MUN4" s="2"/>
      <c r="MUP4" s="2"/>
      <c r="MUR4" s="2"/>
      <c r="MUT4" s="2"/>
      <c r="MUV4" s="2"/>
      <c r="MUX4" s="2"/>
      <c r="MUZ4" s="2"/>
      <c r="MVB4" s="2"/>
      <c r="MVD4" s="2"/>
      <c r="MVF4" s="2"/>
      <c r="MVH4" s="2"/>
      <c r="MVJ4" s="2"/>
      <c r="MVL4" s="2"/>
      <c r="MVN4" s="2"/>
      <c r="MVP4" s="2"/>
      <c r="MVR4" s="2"/>
      <c r="MVT4" s="2"/>
      <c r="MVV4" s="2"/>
      <c r="MVX4" s="2"/>
      <c r="MVZ4" s="2"/>
      <c r="MWB4" s="2"/>
      <c r="MWD4" s="2"/>
      <c r="MWF4" s="2"/>
      <c r="MWH4" s="2"/>
      <c r="MWJ4" s="2"/>
      <c r="MWL4" s="2"/>
      <c r="MWN4" s="2"/>
      <c r="MWP4" s="2"/>
      <c r="MWR4" s="2"/>
      <c r="MWT4" s="2"/>
      <c r="MWV4" s="2"/>
      <c r="MWX4" s="2"/>
      <c r="MWZ4" s="2"/>
      <c r="MXB4" s="2"/>
      <c r="MXD4" s="2"/>
      <c r="MXF4" s="2"/>
      <c r="MXH4" s="2"/>
      <c r="MXJ4" s="2"/>
      <c r="MXL4" s="2"/>
      <c r="MXN4" s="2"/>
      <c r="MXP4" s="2"/>
      <c r="MXR4" s="2"/>
      <c r="MXT4" s="2"/>
      <c r="MXV4" s="2"/>
      <c r="MXX4" s="2"/>
      <c r="MXZ4" s="2"/>
      <c r="MYB4" s="2"/>
      <c r="MYD4" s="2"/>
      <c r="MYF4" s="2"/>
      <c r="MYH4" s="2"/>
      <c r="MYJ4" s="2"/>
      <c r="MYL4" s="2"/>
      <c r="MYN4" s="2"/>
      <c r="MYP4" s="2"/>
      <c r="MYR4" s="2"/>
      <c r="MYT4" s="2"/>
      <c r="MYV4" s="2"/>
      <c r="MYX4" s="2"/>
      <c r="MYZ4" s="2"/>
      <c r="MZB4" s="2"/>
      <c r="MZD4" s="2"/>
      <c r="MZF4" s="2"/>
      <c r="MZH4" s="2"/>
      <c r="MZJ4" s="2"/>
      <c r="MZL4" s="2"/>
      <c r="MZN4" s="2"/>
      <c r="MZP4" s="2"/>
      <c r="MZR4" s="2"/>
      <c r="MZT4" s="2"/>
      <c r="MZV4" s="2"/>
      <c r="MZX4" s="2"/>
      <c r="MZZ4" s="2"/>
      <c r="NAB4" s="2"/>
      <c r="NAD4" s="2"/>
      <c r="NAF4" s="2"/>
      <c r="NAH4" s="2"/>
      <c r="NAJ4" s="2"/>
      <c r="NAL4" s="2"/>
      <c r="NAN4" s="2"/>
      <c r="NAP4" s="2"/>
      <c r="NAR4" s="2"/>
      <c r="NAT4" s="2"/>
      <c r="NAV4" s="2"/>
      <c r="NAX4" s="2"/>
      <c r="NAZ4" s="2"/>
      <c r="NBB4" s="2"/>
      <c r="NBD4" s="2"/>
      <c r="NBF4" s="2"/>
      <c r="NBH4" s="2"/>
      <c r="NBJ4" s="2"/>
      <c r="NBL4" s="2"/>
      <c r="NBN4" s="2"/>
      <c r="NBP4" s="2"/>
      <c r="NBR4" s="2"/>
      <c r="NBT4" s="2"/>
      <c r="NBV4" s="2"/>
      <c r="NBX4" s="2"/>
      <c r="NBZ4" s="2"/>
      <c r="NCB4" s="2"/>
      <c r="NCD4" s="2"/>
      <c r="NCF4" s="2"/>
      <c r="NCH4" s="2"/>
      <c r="NCJ4" s="2"/>
      <c r="NCL4" s="2"/>
      <c r="NCN4" s="2"/>
      <c r="NCP4" s="2"/>
      <c r="NCR4" s="2"/>
      <c r="NCT4" s="2"/>
      <c r="NCV4" s="2"/>
      <c r="NCX4" s="2"/>
      <c r="NCZ4" s="2"/>
      <c r="NDB4" s="2"/>
      <c r="NDD4" s="2"/>
      <c r="NDF4" s="2"/>
      <c r="NDH4" s="2"/>
      <c r="NDJ4" s="2"/>
      <c r="NDL4" s="2"/>
      <c r="NDN4" s="2"/>
      <c r="NDP4" s="2"/>
      <c r="NDR4" s="2"/>
      <c r="NDT4" s="2"/>
      <c r="NDV4" s="2"/>
      <c r="NDX4" s="2"/>
      <c r="NDZ4" s="2"/>
      <c r="NEB4" s="2"/>
      <c r="NED4" s="2"/>
      <c r="NEF4" s="2"/>
      <c r="NEH4" s="2"/>
      <c r="NEJ4" s="2"/>
      <c r="NEL4" s="2"/>
      <c r="NEN4" s="2"/>
      <c r="NEP4" s="2"/>
      <c r="NER4" s="2"/>
      <c r="NET4" s="2"/>
      <c r="NEV4" s="2"/>
      <c r="NEX4" s="2"/>
      <c r="NEZ4" s="2"/>
      <c r="NFB4" s="2"/>
      <c r="NFD4" s="2"/>
      <c r="NFF4" s="2"/>
      <c r="NFH4" s="2"/>
      <c r="NFJ4" s="2"/>
      <c r="NFL4" s="2"/>
      <c r="NFN4" s="2"/>
      <c r="NFP4" s="2"/>
      <c r="NFR4" s="2"/>
      <c r="NFT4" s="2"/>
      <c r="NFV4" s="2"/>
      <c r="NFX4" s="2"/>
      <c r="NFZ4" s="2"/>
      <c r="NGB4" s="2"/>
      <c r="NGD4" s="2"/>
      <c r="NGF4" s="2"/>
      <c r="NGH4" s="2"/>
      <c r="NGJ4" s="2"/>
      <c r="NGL4" s="2"/>
      <c r="NGN4" s="2"/>
      <c r="NGP4" s="2"/>
      <c r="NGR4" s="2"/>
      <c r="NGT4" s="2"/>
      <c r="NGV4" s="2"/>
      <c r="NGX4" s="2"/>
      <c r="NGZ4" s="2"/>
      <c r="NHB4" s="2"/>
      <c r="NHD4" s="2"/>
      <c r="NHF4" s="2"/>
      <c r="NHH4" s="2"/>
      <c r="NHJ4" s="2"/>
      <c r="NHL4" s="2"/>
      <c r="NHN4" s="2"/>
      <c r="NHP4" s="2"/>
      <c r="NHR4" s="2"/>
      <c r="NHT4" s="2"/>
      <c r="NHV4" s="2"/>
      <c r="NHX4" s="2"/>
      <c r="NHZ4" s="2"/>
      <c r="NIB4" s="2"/>
      <c r="NID4" s="2"/>
      <c r="NIF4" s="2"/>
      <c r="NIH4" s="2"/>
      <c r="NIJ4" s="2"/>
      <c r="NIL4" s="2"/>
      <c r="NIN4" s="2"/>
      <c r="NIP4" s="2"/>
      <c r="NIR4" s="2"/>
      <c r="NIT4" s="2"/>
      <c r="NIV4" s="2"/>
      <c r="NIX4" s="2"/>
      <c r="NIZ4" s="2"/>
      <c r="NJB4" s="2"/>
      <c r="NJD4" s="2"/>
      <c r="NJF4" s="2"/>
      <c r="NJH4" s="2"/>
      <c r="NJJ4" s="2"/>
      <c r="NJL4" s="2"/>
      <c r="NJN4" s="2"/>
      <c r="NJP4" s="2"/>
      <c r="NJR4" s="2"/>
      <c r="NJT4" s="2"/>
      <c r="NJV4" s="2"/>
      <c r="NJX4" s="2"/>
      <c r="NJZ4" s="2"/>
      <c r="NKB4" s="2"/>
      <c r="NKD4" s="2"/>
      <c r="NKF4" s="2"/>
      <c r="NKH4" s="2"/>
      <c r="NKJ4" s="2"/>
      <c r="NKL4" s="2"/>
      <c r="NKN4" s="2"/>
      <c r="NKP4" s="2"/>
      <c r="NKR4" s="2"/>
      <c r="NKT4" s="2"/>
      <c r="NKV4" s="2"/>
      <c r="NKX4" s="2"/>
      <c r="NKZ4" s="2"/>
      <c r="NLB4" s="2"/>
      <c r="NLD4" s="2"/>
      <c r="NLF4" s="2"/>
      <c r="NLH4" s="2"/>
      <c r="NLJ4" s="2"/>
      <c r="NLL4" s="2"/>
      <c r="NLN4" s="2"/>
      <c r="NLP4" s="2"/>
      <c r="NLR4" s="2"/>
      <c r="NLT4" s="2"/>
      <c r="NLV4" s="2"/>
      <c r="NLX4" s="2"/>
      <c r="NLZ4" s="2"/>
      <c r="NMB4" s="2"/>
      <c r="NMD4" s="2"/>
      <c r="NMF4" s="2"/>
      <c r="NMH4" s="2"/>
      <c r="NMJ4" s="2"/>
      <c r="NML4" s="2"/>
      <c r="NMN4" s="2"/>
      <c r="NMP4" s="2"/>
      <c r="NMR4" s="2"/>
      <c r="NMT4" s="2"/>
      <c r="NMV4" s="2"/>
      <c r="NMX4" s="2"/>
      <c r="NMZ4" s="2"/>
      <c r="NNB4" s="2"/>
      <c r="NND4" s="2"/>
      <c r="NNF4" s="2"/>
      <c r="NNH4" s="2"/>
      <c r="NNJ4" s="2"/>
      <c r="NNL4" s="2"/>
      <c r="NNN4" s="2"/>
      <c r="NNP4" s="2"/>
      <c r="NNR4" s="2"/>
      <c r="NNT4" s="2"/>
      <c r="NNV4" s="2"/>
      <c r="NNX4" s="2"/>
      <c r="NNZ4" s="2"/>
      <c r="NOB4" s="2"/>
      <c r="NOD4" s="2"/>
      <c r="NOF4" s="2"/>
      <c r="NOH4" s="2"/>
      <c r="NOJ4" s="2"/>
      <c r="NOL4" s="2"/>
      <c r="NON4" s="2"/>
      <c r="NOP4" s="2"/>
      <c r="NOR4" s="2"/>
      <c r="NOT4" s="2"/>
      <c r="NOV4" s="2"/>
      <c r="NOX4" s="2"/>
      <c r="NOZ4" s="2"/>
      <c r="NPB4" s="2"/>
      <c r="NPD4" s="2"/>
      <c r="NPF4" s="2"/>
      <c r="NPH4" s="2"/>
      <c r="NPJ4" s="2"/>
      <c r="NPL4" s="2"/>
      <c r="NPN4" s="2"/>
      <c r="NPP4" s="2"/>
      <c r="NPR4" s="2"/>
      <c r="NPT4" s="2"/>
      <c r="NPV4" s="2"/>
      <c r="NPX4" s="2"/>
      <c r="NPZ4" s="2"/>
      <c r="NQB4" s="2"/>
      <c r="NQD4" s="2"/>
      <c r="NQF4" s="2"/>
      <c r="NQH4" s="2"/>
      <c r="NQJ4" s="2"/>
      <c r="NQL4" s="2"/>
      <c r="NQN4" s="2"/>
      <c r="NQP4" s="2"/>
      <c r="NQR4" s="2"/>
      <c r="NQT4" s="2"/>
      <c r="NQV4" s="2"/>
      <c r="NQX4" s="2"/>
      <c r="NQZ4" s="2"/>
      <c r="NRB4" s="2"/>
      <c r="NRD4" s="2"/>
      <c r="NRF4" s="2"/>
      <c r="NRH4" s="2"/>
      <c r="NRJ4" s="2"/>
      <c r="NRL4" s="2"/>
      <c r="NRN4" s="2"/>
      <c r="NRP4" s="2"/>
      <c r="NRR4" s="2"/>
      <c r="NRT4" s="2"/>
      <c r="NRV4" s="2"/>
      <c r="NRX4" s="2"/>
      <c r="NRZ4" s="2"/>
      <c r="NSB4" s="2"/>
      <c r="NSD4" s="2"/>
      <c r="NSF4" s="2"/>
      <c r="NSH4" s="2"/>
      <c r="NSJ4" s="2"/>
      <c r="NSL4" s="2"/>
      <c r="NSN4" s="2"/>
      <c r="NSP4" s="2"/>
      <c r="NSR4" s="2"/>
      <c r="NST4" s="2"/>
      <c r="NSV4" s="2"/>
      <c r="NSX4" s="2"/>
      <c r="NSZ4" s="2"/>
      <c r="NTB4" s="2"/>
      <c r="NTD4" s="2"/>
      <c r="NTF4" s="2"/>
      <c r="NTH4" s="2"/>
      <c r="NTJ4" s="2"/>
      <c r="NTL4" s="2"/>
      <c r="NTN4" s="2"/>
      <c r="NTP4" s="2"/>
      <c r="NTR4" s="2"/>
      <c r="NTT4" s="2"/>
      <c r="NTV4" s="2"/>
      <c r="NTX4" s="2"/>
      <c r="NTZ4" s="2"/>
      <c r="NUB4" s="2"/>
      <c r="NUD4" s="2"/>
      <c r="NUF4" s="2"/>
      <c r="NUH4" s="2"/>
      <c r="NUJ4" s="2"/>
      <c r="NUL4" s="2"/>
      <c r="NUN4" s="2"/>
      <c r="NUP4" s="2"/>
      <c r="NUR4" s="2"/>
      <c r="NUT4" s="2"/>
      <c r="NUV4" s="2"/>
      <c r="NUX4" s="2"/>
      <c r="NUZ4" s="2"/>
      <c r="NVB4" s="2"/>
      <c r="NVD4" s="2"/>
      <c r="NVF4" s="2"/>
      <c r="NVH4" s="2"/>
      <c r="NVJ4" s="2"/>
      <c r="NVL4" s="2"/>
      <c r="NVN4" s="2"/>
      <c r="NVP4" s="2"/>
      <c r="NVR4" s="2"/>
      <c r="NVT4" s="2"/>
      <c r="NVV4" s="2"/>
      <c r="NVX4" s="2"/>
      <c r="NVZ4" s="2"/>
      <c r="NWB4" s="2"/>
      <c r="NWD4" s="2"/>
      <c r="NWF4" s="2"/>
      <c r="NWH4" s="2"/>
      <c r="NWJ4" s="2"/>
      <c r="NWL4" s="2"/>
      <c r="NWN4" s="2"/>
      <c r="NWP4" s="2"/>
      <c r="NWR4" s="2"/>
      <c r="NWT4" s="2"/>
      <c r="NWV4" s="2"/>
      <c r="NWX4" s="2"/>
      <c r="NWZ4" s="2"/>
      <c r="NXB4" s="2"/>
      <c r="NXD4" s="2"/>
      <c r="NXF4" s="2"/>
      <c r="NXH4" s="2"/>
      <c r="NXJ4" s="2"/>
      <c r="NXL4" s="2"/>
      <c r="NXN4" s="2"/>
      <c r="NXP4" s="2"/>
      <c r="NXR4" s="2"/>
      <c r="NXT4" s="2"/>
      <c r="NXV4" s="2"/>
      <c r="NXX4" s="2"/>
      <c r="NXZ4" s="2"/>
      <c r="NYB4" s="2"/>
      <c r="NYD4" s="2"/>
      <c r="NYF4" s="2"/>
      <c r="NYH4" s="2"/>
      <c r="NYJ4" s="2"/>
      <c r="NYL4" s="2"/>
      <c r="NYN4" s="2"/>
      <c r="NYP4" s="2"/>
      <c r="NYR4" s="2"/>
      <c r="NYT4" s="2"/>
      <c r="NYV4" s="2"/>
      <c r="NYX4" s="2"/>
      <c r="NYZ4" s="2"/>
      <c r="NZB4" s="2"/>
      <c r="NZD4" s="2"/>
      <c r="NZF4" s="2"/>
      <c r="NZH4" s="2"/>
      <c r="NZJ4" s="2"/>
      <c r="NZL4" s="2"/>
      <c r="NZN4" s="2"/>
      <c r="NZP4" s="2"/>
      <c r="NZR4" s="2"/>
      <c r="NZT4" s="2"/>
      <c r="NZV4" s="2"/>
      <c r="NZX4" s="2"/>
      <c r="NZZ4" s="2"/>
      <c r="OAB4" s="2"/>
      <c r="OAD4" s="2"/>
      <c r="OAF4" s="2"/>
      <c r="OAH4" s="2"/>
      <c r="OAJ4" s="2"/>
      <c r="OAL4" s="2"/>
      <c r="OAN4" s="2"/>
      <c r="OAP4" s="2"/>
      <c r="OAR4" s="2"/>
      <c r="OAT4" s="2"/>
      <c r="OAV4" s="2"/>
      <c r="OAX4" s="2"/>
      <c r="OAZ4" s="2"/>
      <c r="OBB4" s="2"/>
      <c r="OBD4" s="2"/>
      <c r="OBF4" s="2"/>
      <c r="OBH4" s="2"/>
      <c r="OBJ4" s="2"/>
      <c r="OBL4" s="2"/>
      <c r="OBN4" s="2"/>
      <c r="OBP4" s="2"/>
      <c r="OBR4" s="2"/>
      <c r="OBT4" s="2"/>
      <c r="OBV4" s="2"/>
      <c r="OBX4" s="2"/>
      <c r="OBZ4" s="2"/>
      <c r="OCB4" s="2"/>
      <c r="OCD4" s="2"/>
      <c r="OCF4" s="2"/>
      <c r="OCH4" s="2"/>
      <c r="OCJ4" s="2"/>
      <c r="OCL4" s="2"/>
      <c r="OCN4" s="2"/>
      <c r="OCP4" s="2"/>
      <c r="OCR4" s="2"/>
      <c r="OCT4" s="2"/>
      <c r="OCV4" s="2"/>
      <c r="OCX4" s="2"/>
      <c r="OCZ4" s="2"/>
      <c r="ODB4" s="2"/>
      <c r="ODD4" s="2"/>
      <c r="ODF4" s="2"/>
      <c r="ODH4" s="2"/>
      <c r="ODJ4" s="2"/>
      <c r="ODL4" s="2"/>
      <c r="ODN4" s="2"/>
      <c r="ODP4" s="2"/>
      <c r="ODR4" s="2"/>
      <c r="ODT4" s="2"/>
      <c r="ODV4" s="2"/>
      <c r="ODX4" s="2"/>
      <c r="ODZ4" s="2"/>
      <c r="OEB4" s="2"/>
      <c r="OED4" s="2"/>
      <c r="OEF4" s="2"/>
      <c r="OEH4" s="2"/>
      <c r="OEJ4" s="2"/>
      <c r="OEL4" s="2"/>
      <c r="OEN4" s="2"/>
      <c r="OEP4" s="2"/>
      <c r="OER4" s="2"/>
      <c r="OET4" s="2"/>
      <c r="OEV4" s="2"/>
      <c r="OEX4" s="2"/>
      <c r="OEZ4" s="2"/>
      <c r="OFB4" s="2"/>
      <c r="OFD4" s="2"/>
      <c r="OFF4" s="2"/>
      <c r="OFH4" s="2"/>
      <c r="OFJ4" s="2"/>
      <c r="OFL4" s="2"/>
      <c r="OFN4" s="2"/>
      <c r="OFP4" s="2"/>
      <c r="OFR4" s="2"/>
      <c r="OFT4" s="2"/>
      <c r="OFV4" s="2"/>
      <c r="OFX4" s="2"/>
      <c r="OFZ4" s="2"/>
      <c r="OGB4" s="2"/>
      <c r="OGD4" s="2"/>
      <c r="OGF4" s="2"/>
      <c r="OGH4" s="2"/>
      <c r="OGJ4" s="2"/>
      <c r="OGL4" s="2"/>
      <c r="OGN4" s="2"/>
      <c r="OGP4" s="2"/>
      <c r="OGR4" s="2"/>
      <c r="OGT4" s="2"/>
      <c r="OGV4" s="2"/>
      <c r="OGX4" s="2"/>
      <c r="OGZ4" s="2"/>
      <c r="OHB4" s="2"/>
      <c r="OHD4" s="2"/>
      <c r="OHF4" s="2"/>
      <c r="OHH4" s="2"/>
      <c r="OHJ4" s="2"/>
      <c r="OHL4" s="2"/>
      <c r="OHN4" s="2"/>
      <c r="OHP4" s="2"/>
      <c r="OHR4" s="2"/>
      <c r="OHT4" s="2"/>
      <c r="OHV4" s="2"/>
      <c r="OHX4" s="2"/>
      <c r="OHZ4" s="2"/>
      <c r="OIB4" s="2"/>
      <c r="OID4" s="2"/>
      <c r="OIF4" s="2"/>
      <c r="OIH4" s="2"/>
      <c r="OIJ4" s="2"/>
      <c r="OIL4" s="2"/>
      <c r="OIN4" s="2"/>
      <c r="OIP4" s="2"/>
      <c r="OIR4" s="2"/>
      <c r="OIT4" s="2"/>
      <c r="OIV4" s="2"/>
      <c r="OIX4" s="2"/>
      <c r="OIZ4" s="2"/>
      <c r="OJB4" s="2"/>
      <c r="OJD4" s="2"/>
      <c r="OJF4" s="2"/>
      <c r="OJH4" s="2"/>
      <c r="OJJ4" s="2"/>
      <c r="OJL4" s="2"/>
      <c r="OJN4" s="2"/>
      <c r="OJP4" s="2"/>
      <c r="OJR4" s="2"/>
      <c r="OJT4" s="2"/>
      <c r="OJV4" s="2"/>
      <c r="OJX4" s="2"/>
      <c r="OJZ4" s="2"/>
      <c r="OKB4" s="2"/>
      <c r="OKD4" s="2"/>
      <c r="OKF4" s="2"/>
      <c r="OKH4" s="2"/>
      <c r="OKJ4" s="2"/>
      <c r="OKL4" s="2"/>
      <c r="OKN4" s="2"/>
      <c r="OKP4" s="2"/>
      <c r="OKR4" s="2"/>
      <c r="OKT4" s="2"/>
      <c r="OKV4" s="2"/>
      <c r="OKX4" s="2"/>
      <c r="OKZ4" s="2"/>
      <c r="OLB4" s="2"/>
      <c r="OLD4" s="2"/>
      <c r="OLF4" s="2"/>
      <c r="OLH4" s="2"/>
      <c r="OLJ4" s="2"/>
      <c r="OLL4" s="2"/>
      <c r="OLN4" s="2"/>
      <c r="OLP4" s="2"/>
      <c r="OLR4" s="2"/>
      <c r="OLT4" s="2"/>
      <c r="OLV4" s="2"/>
      <c r="OLX4" s="2"/>
      <c r="OLZ4" s="2"/>
      <c r="OMB4" s="2"/>
      <c r="OMD4" s="2"/>
      <c r="OMF4" s="2"/>
      <c r="OMH4" s="2"/>
      <c r="OMJ4" s="2"/>
      <c r="OML4" s="2"/>
      <c r="OMN4" s="2"/>
      <c r="OMP4" s="2"/>
      <c r="OMR4" s="2"/>
      <c r="OMT4" s="2"/>
      <c r="OMV4" s="2"/>
      <c r="OMX4" s="2"/>
      <c r="OMZ4" s="2"/>
      <c r="ONB4" s="2"/>
      <c r="OND4" s="2"/>
      <c r="ONF4" s="2"/>
      <c r="ONH4" s="2"/>
      <c r="ONJ4" s="2"/>
      <c r="ONL4" s="2"/>
      <c r="ONN4" s="2"/>
      <c r="ONP4" s="2"/>
      <c r="ONR4" s="2"/>
      <c r="ONT4" s="2"/>
      <c r="ONV4" s="2"/>
      <c r="ONX4" s="2"/>
      <c r="ONZ4" s="2"/>
      <c r="OOB4" s="2"/>
      <c r="OOD4" s="2"/>
      <c r="OOF4" s="2"/>
      <c r="OOH4" s="2"/>
      <c r="OOJ4" s="2"/>
      <c r="OOL4" s="2"/>
      <c r="OON4" s="2"/>
      <c r="OOP4" s="2"/>
      <c r="OOR4" s="2"/>
      <c r="OOT4" s="2"/>
      <c r="OOV4" s="2"/>
      <c r="OOX4" s="2"/>
      <c r="OOZ4" s="2"/>
      <c r="OPB4" s="2"/>
      <c r="OPD4" s="2"/>
      <c r="OPF4" s="2"/>
      <c r="OPH4" s="2"/>
      <c r="OPJ4" s="2"/>
      <c r="OPL4" s="2"/>
      <c r="OPN4" s="2"/>
      <c r="OPP4" s="2"/>
      <c r="OPR4" s="2"/>
      <c r="OPT4" s="2"/>
      <c r="OPV4" s="2"/>
      <c r="OPX4" s="2"/>
      <c r="OPZ4" s="2"/>
      <c r="OQB4" s="2"/>
      <c r="OQD4" s="2"/>
      <c r="OQF4" s="2"/>
      <c r="OQH4" s="2"/>
      <c r="OQJ4" s="2"/>
      <c r="OQL4" s="2"/>
      <c r="OQN4" s="2"/>
      <c r="OQP4" s="2"/>
      <c r="OQR4" s="2"/>
      <c r="OQT4" s="2"/>
      <c r="OQV4" s="2"/>
      <c r="OQX4" s="2"/>
      <c r="OQZ4" s="2"/>
      <c r="ORB4" s="2"/>
      <c r="ORD4" s="2"/>
      <c r="ORF4" s="2"/>
      <c r="ORH4" s="2"/>
      <c r="ORJ4" s="2"/>
      <c r="ORL4" s="2"/>
      <c r="ORN4" s="2"/>
      <c r="ORP4" s="2"/>
      <c r="ORR4" s="2"/>
      <c r="ORT4" s="2"/>
      <c r="ORV4" s="2"/>
      <c r="ORX4" s="2"/>
      <c r="ORZ4" s="2"/>
      <c r="OSB4" s="2"/>
      <c r="OSD4" s="2"/>
      <c r="OSF4" s="2"/>
      <c r="OSH4" s="2"/>
      <c r="OSJ4" s="2"/>
      <c r="OSL4" s="2"/>
      <c r="OSN4" s="2"/>
      <c r="OSP4" s="2"/>
      <c r="OSR4" s="2"/>
      <c r="OST4" s="2"/>
      <c r="OSV4" s="2"/>
      <c r="OSX4" s="2"/>
      <c r="OSZ4" s="2"/>
      <c r="OTB4" s="2"/>
      <c r="OTD4" s="2"/>
      <c r="OTF4" s="2"/>
      <c r="OTH4" s="2"/>
      <c r="OTJ4" s="2"/>
      <c r="OTL4" s="2"/>
      <c r="OTN4" s="2"/>
      <c r="OTP4" s="2"/>
      <c r="OTR4" s="2"/>
      <c r="OTT4" s="2"/>
      <c r="OTV4" s="2"/>
      <c r="OTX4" s="2"/>
      <c r="OTZ4" s="2"/>
      <c r="OUB4" s="2"/>
      <c r="OUD4" s="2"/>
      <c r="OUF4" s="2"/>
      <c r="OUH4" s="2"/>
      <c r="OUJ4" s="2"/>
      <c r="OUL4" s="2"/>
      <c r="OUN4" s="2"/>
      <c r="OUP4" s="2"/>
      <c r="OUR4" s="2"/>
      <c r="OUT4" s="2"/>
      <c r="OUV4" s="2"/>
      <c r="OUX4" s="2"/>
      <c r="OUZ4" s="2"/>
      <c r="OVB4" s="2"/>
      <c r="OVD4" s="2"/>
      <c r="OVF4" s="2"/>
      <c r="OVH4" s="2"/>
      <c r="OVJ4" s="2"/>
      <c r="OVL4" s="2"/>
      <c r="OVN4" s="2"/>
      <c r="OVP4" s="2"/>
      <c r="OVR4" s="2"/>
      <c r="OVT4" s="2"/>
      <c r="OVV4" s="2"/>
      <c r="OVX4" s="2"/>
      <c r="OVZ4" s="2"/>
      <c r="OWB4" s="2"/>
      <c r="OWD4" s="2"/>
      <c r="OWF4" s="2"/>
      <c r="OWH4" s="2"/>
      <c r="OWJ4" s="2"/>
      <c r="OWL4" s="2"/>
      <c r="OWN4" s="2"/>
      <c r="OWP4" s="2"/>
      <c r="OWR4" s="2"/>
      <c r="OWT4" s="2"/>
      <c r="OWV4" s="2"/>
      <c r="OWX4" s="2"/>
      <c r="OWZ4" s="2"/>
      <c r="OXB4" s="2"/>
      <c r="OXD4" s="2"/>
      <c r="OXF4" s="2"/>
      <c r="OXH4" s="2"/>
      <c r="OXJ4" s="2"/>
      <c r="OXL4" s="2"/>
      <c r="OXN4" s="2"/>
      <c r="OXP4" s="2"/>
      <c r="OXR4" s="2"/>
      <c r="OXT4" s="2"/>
      <c r="OXV4" s="2"/>
      <c r="OXX4" s="2"/>
      <c r="OXZ4" s="2"/>
      <c r="OYB4" s="2"/>
      <c r="OYD4" s="2"/>
      <c r="OYF4" s="2"/>
      <c r="OYH4" s="2"/>
      <c r="OYJ4" s="2"/>
      <c r="OYL4" s="2"/>
      <c r="OYN4" s="2"/>
      <c r="OYP4" s="2"/>
      <c r="OYR4" s="2"/>
      <c r="OYT4" s="2"/>
      <c r="OYV4" s="2"/>
      <c r="OYX4" s="2"/>
      <c r="OYZ4" s="2"/>
      <c r="OZB4" s="2"/>
      <c r="OZD4" s="2"/>
      <c r="OZF4" s="2"/>
      <c r="OZH4" s="2"/>
      <c r="OZJ4" s="2"/>
      <c r="OZL4" s="2"/>
      <c r="OZN4" s="2"/>
      <c r="OZP4" s="2"/>
      <c r="OZR4" s="2"/>
      <c r="OZT4" s="2"/>
      <c r="OZV4" s="2"/>
      <c r="OZX4" s="2"/>
      <c r="OZZ4" s="2"/>
      <c r="PAB4" s="2"/>
      <c r="PAD4" s="2"/>
      <c r="PAF4" s="2"/>
      <c r="PAH4" s="2"/>
      <c r="PAJ4" s="2"/>
      <c r="PAL4" s="2"/>
      <c r="PAN4" s="2"/>
      <c r="PAP4" s="2"/>
      <c r="PAR4" s="2"/>
      <c r="PAT4" s="2"/>
      <c r="PAV4" s="2"/>
      <c r="PAX4" s="2"/>
      <c r="PAZ4" s="2"/>
      <c r="PBB4" s="2"/>
      <c r="PBD4" s="2"/>
      <c r="PBF4" s="2"/>
      <c r="PBH4" s="2"/>
      <c r="PBJ4" s="2"/>
      <c r="PBL4" s="2"/>
      <c r="PBN4" s="2"/>
      <c r="PBP4" s="2"/>
      <c r="PBR4" s="2"/>
      <c r="PBT4" s="2"/>
      <c r="PBV4" s="2"/>
      <c r="PBX4" s="2"/>
      <c r="PBZ4" s="2"/>
      <c r="PCB4" s="2"/>
      <c r="PCD4" s="2"/>
      <c r="PCF4" s="2"/>
      <c r="PCH4" s="2"/>
      <c r="PCJ4" s="2"/>
      <c r="PCL4" s="2"/>
      <c r="PCN4" s="2"/>
      <c r="PCP4" s="2"/>
      <c r="PCR4" s="2"/>
      <c r="PCT4" s="2"/>
      <c r="PCV4" s="2"/>
      <c r="PCX4" s="2"/>
      <c r="PCZ4" s="2"/>
      <c r="PDB4" s="2"/>
      <c r="PDD4" s="2"/>
      <c r="PDF4" s="2"/>
      <c r="PDH4" s="2"/>
      <c r="PDJ4" s="2"/>
      <c r="PDL4" s="2"/>
      <c r="PDN4" s="2"/>
      <c r="PDP4" s="2"/>
      <c r="PDR4" s="2"/>
      <c r="PDT4" s="2"/>
      <c r="PDV4" s="2"/>
      <c r="PDX4" s="2"/>
      <c r="PDZ4" s="2"/>
      <c r="PEB4" s="2"/>
      <c r="PED4" s="2"/>
      <c r="PEF4" s="2"/>
      <c r="PEH4" s="2"/>
      <c r="PEJ4" s="2"/>
      <c r="PEL4" s="2"/>
      <c r="PEN4" s="2"/>
      <c r="PEP4" s="2"/>
      <c r="PER4" s="2"/>
      <c r="PET4" s="2"/>
      <c r="PEV4" s="2"/>
      <c r="PEX4" s="2"/>
      <c r="PEZ4" s="2"/>
      <c r="PFB4" s="2"/>
      <c r="PFD4" s="2"/>
      <c r="PFF4" s="2"/>
      <c r="PFH4" s="2"/>
      <c r="PFJ4" s="2"/>
      <c r="PFL4" s="2"/>
      <c r="PFN4" s="2"/>
      <c r="PFP4" s="2"/>
      <c r="PFR4" s="2"/>
      <c r="PFT4" s="2"/>
      <c r="PFV4" s="2"/>
      <c r="PFX4" s="2"/>
      <c r="PFZ4" s="2"/>
      <c r="PGB4" s="2"/>
      <c r="PGD4" s="2"/>
      <c r="PGF4" s="2"/>
      <c r="PGH4" s="2"/>
      <c r="PGJ4" s="2"/>
      <c r="PGL4" s="2"/>
      <c r="PGN4" s="2"/>
      <c r="PGP4" s="2"/>
      <c r="PGR4" s="2"/>
      <c r="PGT4" s="2"/>
      <c r="PGV4" s="2"/>
      <c r="PGX4" s="2"/>
      <c r="PGZ4" s="2"/>
      <c r="PHB4" s="2"/>
      <c r="PHD4" s="2"/>
      <c r="PHF4" s="2"/>
      <c r="PHH4" s="2"/>
      <c r="PHJ4" s="2"/>
      <c r="PHL4" s="2"/>
      <c r="PHN4" s="2"/>
      <c r="PHP4" s="2"/>
      <c r="PHR4" s="2"/>
      <c r="PHT4" s="2"/>
      <c r="PHV4" s="2"/>
      <c r="PHX4" s="2"/>
      <c r="PHZ4" s="2"/>
      <c r="PIB4" s="2"/>
      <c r="PID4" s="2"/>
      <c r="PIF4" s="2"/>
      <c r="PIH4" s="2"/>
      <c r="PIJ4" s="2"/>
      <c r="PIL4" s="2"/>
      <c r="PIN4" s="2"/>
      <c r="PIP4" s="2"/>
      <c r="PIR4" s="2"/>
      <c r="PIT4" s="2"/>
      <c r="PIV4" s="2"/>
      <c r="PIX4" s="2"/>
      <c r="PIZ4" s="2"/>
      <c r="PJB4" s="2"/>
      <c r="PJD4" s="2"/>
      <c r="PJF4" s="2"/>
      <c r="PJH4" s="2"/>
      <c r="PJJ4" s="2"/>
      <c r="PJL4" s="2"/>
      <c r="PJN4" s="2"/>
      <c r="PJP4" s="2"/>
      <c r="PJR4" s="2"/>
      <c r="PJT4" s="2"/>
      <c r="PJV4" s="2"/>
      <c r="PJX4" s="2"/>
      <c r="PJZ4" s="2"/>
      <c r="PKB4" s="2"/>
      <c r="PKD4" s="2"/>
      <c r="PKF4" s="2"/>
      <c r="PKH4" s="2"/>
      <c r="PKJ4" s="2"/>
      <c r="PKL4" s="2"/>
      <c r="PKN4" s="2"/>
      <c r="PKP4" s="2"/>
      <c r="PKR4" s="2"/>
      <c r="PKT4" s="2"/>
      <c r="PKV4" s="2"/>
      <c r="PKX4" s="2"/>
      <c r="PKZ4" s="2"/>
      <c r="PLB4" s="2"/>
      <c r="PLD4" s="2"/>
      <c r="PLF4" s="2"/>
      <c r="PLH4" s="2"/>
      <c r="PLJ4" s="2"/>
      <c r="PLL4" s="2"/>
      <c r="PLN4" s="2"/>
      <c r="PLP4" s="2"/>
      <c r="PLR4" s="2"/>
      <c r="PLT4" s="2"/>
      <c r="PLV4" s="2"/>
      <c r="PLX4" s="2"/>
      <c r="PLZ4" s="2"/>
      <c r="PMB4" s="2"/>
      <c r="PMD4" s="2"/>
      <c r="PMF4" s="2"/>
      <c r="PMH4" s="2"/>
      <c r="PMJ4" s="2"/>
      <c r="PML4" s="2"/>
      <c r="PMN4" s="2"/>
      <c r="PMP4" s="2"/>
      <c r="PMR4" s="2"/>
      <c r="PMT4" s="2"/>
      <c r="PMV4" s="2"/>
      <c r="PMX4" s="2"/>
      <c r="PMZ4" s="2"/>
      <c r="PNB4" s="2"/>
      <c r="PND4" s="2"/>
      <c r="PNF4" s="2"/>
      <c r="PNH4" s="2"/>
      <c r="PNJ4" s="2"/>
      <c r="PNL4" s="2"/>
      <c r="PNN4" s="2"/>
      <c r="PNP4" s="2"/>
      <c r="PNR4" s="2"/>
      <c r="PNT4" s="2"/>
      <c r="PNV4" s="2"/>
      <c r="PNX4" s="2"/>
      <c r="PNZ4" s="2"/>
      <c r="POB4" s="2"/>
      <c r="POD4" s="2"/>
      <c r="POF4" s="2"/>
      <c r="POH4" s="2"/>
      <c r="POJ4" s="2"/>
      <c r="POL4" s="2"/>
      <c r="PON4" s="2"/>
      <c r="POP4" s="2"/>
      <c r="POR4" s="2"/>
      <c r="POT4" s="2"/>
      <c r="POV4" s="2"/>
      <c r="POX4" s="2"/>
      <c r="POZ4" s="2"/>
      <c r="PPB4" s="2"/>
      <c r="PPD4" s="2"/>
      <c r="PPF4" s="2"/>
      <c r="PPH4" s="2"/>
      <c r="PPJ4" s="2"/>
      <c r="PPL4" s="2"/>
      <c r="PPN4" s="2"/>
      <c r="PPP4" s="2"/>
      <c r="PPR4" s="2"/>
      <c r="PPT4" s="2"/>
      <c r="PPV4" s="2"/>
      <c r="PPX4" s="2"/>
      <c r="PPZ4" s="2"/>
      <c r="PQB4" s="2"/>
      <c r="PQD4" s="2"/>
      <c r="PQF4" s="2"/>
      <c r="PQH4" s="2"/>
      <c r="PQJ4" s="2"/>
      <c r="PQL4" s="2"/>
      <c r="PQN4" s="2"/>
      <c r="PQP4" s="2"/>
      <c r="PQR4" s="2"/>
      <c r="PQT4" s="2"/>
      <c r="PQV4" s="2"/>
      <c r="PQX4" s="2"/>
      <c r="PQZ4" s="2"/>
      <c r="PRB4" s="2"/>
      <c r="PRD4" s="2"/>
      <c r="PRF4" s="2"/>
      <c r="PRH4" s="2"/>
      <c r="PRJ4" s="2"/>
      <c r="PRL4" s="2"/>
      <c r="PRN4" s="2"/>
      <c r="PRP4" s="2"/>
      <c r="PRR4" s="2"/>
      <c r="PRT4" s="2"/>
      <c r="PRV4" s="2"/>
      <c r="PRX4" s="2"/>
      <c r="PRZ4" s="2"/>
      <c r="PSB4" s="2"/>
      <c r="PSD4" s="2"/>
      <c r="PSF4" s="2"/>
      <c r="PSH4" s="2"/>
      <c r="PSJ4" s="2"/>
      <c r="PSL4" s="2"/>
      <c r="PSN4" s="2"/>
      <c r="PSP4" s="2"/>
      <c r="PSR4" s="2"/>
      <c r="PST4" s="2"/>
      <c r="PSV4" s="2"/>
      <c r="PSX4" s="2"/>
      <c r="PSZ4" s="2"/>
      <c r="PTB4" s="2"/>
      <c r="PTD4" s="2"/>
      <c r="PTF4" s="2"/>
      <c r="PTH4" s="2"/>
      <c r="PTJ4" s="2"/>
      <c r="PTL4" s="2"/>
      <c r="PTN4" s="2"/>
      <c r="PTP4" s="2"/>
      <c r="PTR4" s="2"/>
      <c r="PTT4" s="2"/>
      <c r="PTV4" s="2"/>
      <c r="PTX4" s="2"/>
      <c r="PTZ4" s="2"/>
      <c r="PUB4" s="2"/>
      <c r="PUD4" s="2"/>
      <c r="PUF4" s="2"/>
      <c r="PUH4" s="2"/>
      <c r="PUJ4" s="2"/>
      <c r="PUL4" s="2"/>
      <c r="PUN4" s="2"/>
      <c r="PUP4" s="2"/>
      <c r="PUR4" s="2"/>
      <c r="PUT4" s="2"/>
      <c r="PUV4" s="2"/>
      <c r="PUX4" s="2"/>
      <c r="PUZ4" s="2"/>
      <c r="PVB4" s="2"/>
      <c r="PVD4" s="2"/>
      <c r="PVF4" s="2"/>
      <c r="PVH4" s="2"/>
      <c r="PVJ4" s="2"/>
      <c r="PVL4" s="2"/>
      <c r="PVN4" s="2"/>
      <c r="PVP4" s="2"/>
      <c r="PVR4" s="2"/>
      <c r="PVT4" s="2"/>
      <c r="PVV4" s="2"/>
      <c r="PVX4" s="2"/>
      <c r="PVZ4" s="2"/>
      <c r="PWB4" s="2"/>
      <c r="PWD4" s="2"/>
      <c r="PWF4" s="2"/>
      <c r="PWH4" s="2"/>
      <c r="PWJ4" s="2"/>
      <c r="PWL4" s="2"/>
      <c r="PWN4" s="2"/>
      <c r="PWP4" s="2"/>
      <c r="PWR4" s="2"/>
      <c r="PWT4" s="2"/>
      <c r="PWV4" s="2"/>
      <c r="PWX4" s="2"/>
      <c r="PWZ4" s="2"/>
      <c r="PXB4" s="2"/>
      <c r="PXD4" s="2"/>
      <c r="PXF4" s="2"/>
      <c r="PXH4" s="2"/>
      <c r="PXJ4" s="2"/>
      <c r="PXL4" s="2"/>
      <c r="PXN4" s="2"/>
      <c r="PXP4" s="2"/>
      <c r="PXR4" s="2"/>
      <c r="PXT4" s="2"/>
      <c r="PXV4" s="2"/>
      <c r="PXX4" s="2"/>
      <c r="PXZ4" s="2"/>
      <c r="PYB4" s="2"/>
      <c r="PYD4" s="2"/>
      <c r="PYF4" s="2"/>
      <c r="PYH4" s="2"/>
      <c r="PYJ4" s="2"/>
      <c r="PYL4" s="2"/>
      <c r="PYN4" s="2"/>
      <c r="PYP4" s="2"/>
      <c r="PYR4" s="2"/>
      <c r="PYT4" s="2"/>
      <c r="PYV4" s="2"/>
      <c r="PYX4" s="2"/>
      <c r="PYZ4" s="2"/>
      <c r="PZB4" s="2"/>
      <c r="PZD4" s="2"/>
      <c r="PZF4" s="2"/>
      <c r="PZH4" s="2"/>
      <c r="PZJ4" s="2"/>
      <c r="PZL4" s="2"/>
      <c r="PZN4" s="2"/>
      <c r="PZP4" s="2"/>
      <c r="PZR4" s="2"/>
      <c r="PZT4" s="2"/>
      <c r="PZV4" s="2"/>
      <c r="PZX4" s="2"/>
      <c r="PZZ4" s="2"/>
      <c r="QAB4" s="2"/>
      <c r="QAD4" s="2"/>
      <c r="QAF4" s="2"/>
      <c r="QAH4" s="2"/>
      <c r="QAJ4" s="2"/>
      <c r="QAL4" s="2"/>
      <c r="QAN4" s="2"/>
      <c r="QAP4" s="2"/>
      <c r="QAR4" s="2"/>
      <c r="QAT4" s="2"/>
      <c r="QAV4" s="2"/>
      <c r="QAX4" s="2"/>
      <c r="QAZ4" s="2"/>
      <c r="QBB4" s="2"/>
      <c r="QBD4" s="2"/>
      <c r="QBF4" s="2"/>
      <c r="QBH4" s="2"/>
      <c r="QBJ4" s="2"/>
      <c r="QBL4" s="2"/>
      <c r="QBN4" s="2"/>
      <c r="QBP4" s="2"/>
      <c r="QBR4" s="2"/>
      <c r="QBT4" s="2"/>
      <c r="QBV4" s="2"/>
      <c r="QBX4" s="2"/>
      <c r="QBZ4" s="2"/>
      <c r="QCB4" s="2"/>
      <c r="QCD4" s="2"/>
      <c r="QCF4" s="2"/>
      <c r="QCH4" s="2"/>
      <c r="QCJ4" s="2"/>
      <c r="QCL4" s="2"/>
      <c r="QCN4" s="2"/>
      <c r="QCP4" s="2"/>
      <c r="QCR4" s="2"/>
      <c r="QCT4" s="2"/>
      <c r="QCV4" s="2"/>
      <c r="QCX4" s="2"/>
      <c r="QCZ4" s="2"/>
      <c r="QDB4" s="2"/>
      <c r="QDD4" s="2"/>
      <c r="QDF4" s="2"/>
      <c r="QDH4" s="2"/>
      <c r="QDJ4" s="2"/>
      <c r="QDL4" s="2"/>
      <c r="QDN4" s="2"/>
      <c r="QDP4" s="2"/>
      <c r="QDR4" s="2"/>
      <c r="QDT4" s="2"/>
      <c r="QDV4" s="2"/>
      <c r="QDX4" s="2"/>
      <c r="QDZ4" s="2"/>
      <c r="QEB4" s="2"/>
      <c r="QED4" s="2"/>
      <c r="QEF4" s="2"/>
      <c r="QEH4" s="2"/>
      <c r="QEJ4" s="2"/>
      <c r="QEL4" s="2"/>
      <c r="QEN4" s="2"/>
      <c r="QEP4" s="2"/>
      <c r="QER4" s="2"/>
      <c r="QET4" s="2"/>
      <c r="QEV4" s="2"/>
      <c r="QEX4" s="2"/>
      <c r="QEZ4" s="2"/>
      <c r="QFB4" s="2"/>
      <c r="QFD4" s="2"/>
      <c r="QFF4" s="2"/>
      <c r="QFH4" s="2"/>
      <c r="QFJ4" s="2"/>
      <c r="QFL4" s="2"/>
      <c r="QFN4" s="2"/>
      <c r="QFP4" s="2"/>
      <c r="QFR4" s="2"/>
      <c r="QFT4" s="2"/>
      <c r="QFV4" s="2"/>
      <c r="QFX4" s="2"/>
      <c r="QFZ4" s="2"/>
      <c r="QGB4" s="2"/>
      <c r="QGD4" s="2"/>
      <c r="QGF4" s="2"/>
      <c r="QGH4" s="2"/>
      <c r="QGJ4" s="2"/>
      <c r="QGL4" s="2"/>
      <c r="QGN4" s="2"/>
      <c r="QGP4" s="2"/>
      <c r="QGR4" s="2"/>
      <c r="QGT4" s="2"/>
      <c r="QGV4" s="2"/>
      <c r="QGX4" s="2"/>
      <c r="QGZ4" s="2"/>
      <c r="QHB4" s="2"/>
      <c r="QHD4" s="2"/>
      <c r="QHF4" s="2"/>
      <c r="QHH4" s="2"/>
      <c r="QHJ4" s="2"/>
      <c r="QHL4" s="2"/>
      <c r="QHN4" s="2"/>
      <c r="QHP4" s="2"/>
      <c r="QHR4" s="2"/>
      <c r="QHT4" s="2"/>
      <c r="QHV4" s="2"/>
      <c r="QHX4" s="2"/>
      <c r="QHZ4" s="2"/>
      <c r="QIB4" s="2"/>
      <c r="QID4" s="2"/>
      <c r="QIF4" s="2"/>
      <c r="QIH4" s="2"/>
      <c r="QIJ4" s="2"/>
      <c r="QIL4" s="2"/>
      <c r="QIN4" s="2"/>
      <c r="QIP4" s="2"/>
      <c r="QIR4" s="2"/>
      <c r="QIT4" s="2"/>
      <c r="QIV4" s="2"/>
      <c r="QIX4" s="2"/>
      <c r="QIZ4" s="2"/>
      <c r="QJB4" s="2"/>
      <c r="QJD4" s="2"/>
      <c r="QJF4" s="2"/>
      <c r="QJH4" s="2"/>
      <c r="QJJ4" s="2"/>
      <c r="QJL4" s="2"/>
      <c r="QJN4" s="2"/>
      <c r="QJP4" s="2"/>
      <c r="QJR4" s="2"/>
      <c r="QJT4" s="2"/>
      <c r="QJV4" s="2"/>
      <c r="QJX4" s="2"/>
      <c r="QJZ4" s="2"/>
      <c r="QKB4" s="2"/>
      <c r="QKD4" s="2"/>
      <c r="QKF4" s="2"/>
      <c r="QKH4" s="2"/>
      <c r="QKJ4" s="2"/>
      <c r="QKL4" s="2"/>
      <c r="QKN4" s="2"/>
      <c r="QKP4" s="2"/>
      <c r="QKR4" s="2"/>
      <c r="QKT4" s="2"/>
      <c r="QKV4" s="2"/>
      <c r="QKX4" s="2"/>
      <c r="QKZ4" s="2"/>
      <c r="QLB4" s="2"/>
      <c r="QLD4" s="2"/>
      <c r="QLF4" s="2"/>
      <c r="QLH4" s="2"/>
      <c r="QLJ4" s="2"/>
      <c r="QLL4" s="2"/>
      <c r="QLN4" s="2"/>
      <c r="QLP4" s="2"/>
      <c r="QLR4" s="2"/>
      <c r="QLT4" s="2"/>
      <c r="QLV4" s="2"/>
      <c r="QLX4" s="2"/>
      <c r="QLZ4" s="2"/>
      <c r="QMB4" s="2"/>
      <c r="QMD4" s="2"/>
      <c r="QMF4" s="2"/>
      <c r="QMH4" s="2"/>
      <c r="QMJ4" s="2"/>
      <c r="QML4" s="2"/>
      <c r="QMN4" s="2"/>
      <c r="QMP4" s="2"/>
      <c r="QMR4" s="2"/>
      <c r="QMT4" s="2"/>
      <c r="QMV4" s="2"/>
      <c r="QMX4" s="2"/>
      <c r="QMZ4" s="2"/>
      <c r="QNB4" s="2"/>
      <c r="QND4" s="2"/>
      <c r="QNF4" s="2"/>
      <c r="QNH4" s="2"/>
      <c r="QNJ4" s="2"/>
      <c r="QNL4" s="2"/>
      <c r="QNN4" s="2"/>
      <c r="QNP4" s="2"/>
      <c r="QNR4" s="2"/>
      <c r="QNT4" s="2"/>
      <c r="QNV4" s="2"/>
      <c r="QNX4" s="2"/>
      <c r="QNZ4" s="2"/>
      <c r="QOB4" s="2"/>
      <c r="QOD4" s="2"/>
      <c r="QOF4" s="2"/>
      <c r="QOH4" s="2"/>
      <c r="QOJ4" s="2"/>
      <c r="QOL4" s="2"/>
      <c r="QON4" s="2"/>
      <c r="QOP4" s="2"/>
      <c r="QOR4" s="2"/>
      <c r="QOT4" s="2"/>
      <c r="QOV4" s="2"/>
      <c r="QOX4" s="2"/>
      <c r="QOZ4" s="2"/>
      <c r="QPB4" s="2"/>
      <c r="QPD4" s="2"/>
      <c r="QPF4" s="2"/>
      <c r="QPH4" s="2"/>
      <c r="QPJ4" s="2"/>
      <c r="QPL4" s="2"/>
      <c r="QPN4" s="2"/>
      <c r="QPP4" s="2"/>
      <c r="QPR4" s="2"/>
      <c r="QPT4" s="2"/>
      <c r="QPV4" s="2"/>
      <c r="QPX4" s="2"/>
      <c r="QPZ4" s="2"/>
      <c r="QQB4" s="2"/>
      <c r="QQD4" s="2"/>
      <c r="QQF4" s="2"/>
      <c r="QQH4" s="2"/>
      <c r="QQJ4" s="2"/>
      <c r="QQL4" s="2"/>
      <c r="QQN4" s="2"/>
      <c r="QQP4" s="2"/>
      <c r="QQR4" s="2"/>
      <c r="QQT4" s="2"/>
      <c r="QQV4" s="2"/>
      <c r="QQX4" s="2"/>
      <c r="QQZ4" s="2"/>
      <c r="QRB4" s="2"/>
      <c r="QRD4" s="2"/>
      <c r="QRF4" s="2"/>
      <c r="QRH4" s="2"/>
      <c r="QRJ4" s="2"/>
      <c r="QRL4" s="2"/>
      <c r="QRN4" s="2"/>
      <c r="QRP4" s="2"/>
      <c r="QRR4" s="2"/>
      <c r="QRT4" s="2"/>
      <c r="QRV4" s="2"/>
      <c r="QRX4" s="2"/>
      <c r="QRZ4" s="2"/>
      <c r="QSB4" s="2"/>
      <c r="QSD4" s="2"/>
      <c r="QSF4" s="2"/>
      <c r="QSH4" s="2"/>
      <c r="QSJ4" s="2"/>
      <c r="QSL4" s="2"/>
      <c r="QSN4" s="2"/>
      <c r="QSP4" s="2"/>
      <c r="QSR4" s="2"/>
      <c r="QST4" s="2"/>
      <c r="QSV4" s="2"/>
      <c r="QSX4" s="2"/>
      <c r="QSZ4" s="2"/>
      <c r="QTB4" s="2"/>
      <c r="QTD4" s="2"/>
      <c r="QTF4" s="2"/>
      <c r="QTH4" s="2"/>
      <c r="QTJ4" s="2"/>
      <c r="QTL4" s="2"/>
      <c r="QTN4" s="2"/>
      <c r="QTP4" s="2"/>
      <c r="QTR4" s="2"/>
      <c r="QTT4" s="2"/>
      <c r="QTV4" s="2"/>
      <c r="QTX4" s="2"/>
      <c r="QTZ4" s="2"/>
      <c r="QUB4" s="2"/>
      <c r="QUD4" s="2"/>
      <c r="QUF4" s="2"/>
      <c r="QUH4" s="2"/>
      <c r="QUJ4" s="2"/>
      <c r="QUL4" s="2"/>
      <c r="QUN4" s="2"/>
      <c r="QUP4" s="2"/>
      <c r="QUR4" s="2"/>
      <c r="QUT4" s="2"/>
      <c r="QUV4" s="2"/>
      <c r="QUX4" s="2"/>
      <c r="QUZ4" s="2"/>
      <c r="QVB4" s="2"/>
      <c r="QVD4" s="2"/>
      <c r="QVF4" s="2"/>
      <c r="QVH4" s="2"/>
      <c r="QVJ4" s="2"/>
      <c r="QVL4" s="2"/>
      <c r="QVN4" s="2"/>
      <c r="QVP4" s="2"/>
      <c r="QVR4" s="2"/>
      <c r="QVT4" s="2"/>
      <c r="QVV4" s="2"/>
      <c r="QVX4" s="2"/>
      <c r="QVZ4" s="2"/>
      <c r="QWB4" s="2"/>
      <c r="QWD4" s="2"/>
      <c r="QWF4" s="2"/>
      <c r="QWH4" s="2"/>
      <c r="QWJ4" s="2"/>
      <c r="QWL4" s="2"/>
      <c r="QWN4" s="2"/>
      <c r="QWP4" s="2"/>
      <c r="QWR4" s="2"/>
      <c r="QWT4" s="2"/>
      <c r="QWV4" s="2"/>
      <c r="QWX4" s="2"/>
      <c r="QWZ4" s="2"/>
      <c r="QXB4" s="2"/>
      <c r="QXD4" s="2"/>
      <c r="QXF4" s="2"/>
      <c r="QXH4" s="2"/>
      <c r="QXJ4" s="2"/>
      <c r="QXL4" s="2"/>
      <c r="QXN4" s="2"/>
      <c r="QXP4" s="2"/>
      <c r="QXR4" s="2"/>
      <c r="QXT4" s="2"/>
      <c r="QXV4" s="2"/>
      <c r="QXX4" s="2"/>
      <c r="QXZ4" s="2"/>
      <c r="QYB4" s="2"/>
      <c r="QYD4" s="2"/>
      <c r="QYF4" s="2"/>
      <c r="QYH4" s="2"/>
      <c r="QYJ4" s="2"/>
      <c r="QYL4" s="2"/>
      <c r="QYN4" s="2"/>
      <c r="QYP4" s="2"/>
      <c r="QYR4" s="2"/>
      <c r="QYT4" s="2"/>
      <c r="QYV4" s="2"/>
      <c r="QYX4" s="2"/>
      <c r="QYZ4" s="2"/>
      <c r="QZB4" s="2"/>
      <c r="QZD4" s="2"/>
      <c r="QZF4" s="2"/>
      <c r="QZH4" s="2"/>
      <c r="QZJ4" s="2"/>
      <c r="QZL4" s="2"/>
      <c r="QZN4" s="2"/>
      <c r="QZP4" s="2"/>
      <c r="QZR4" s="2"/>
      <c r="QZT4" s="2"/>
      <c r="QZV4" s="2"/>
      <c r="QZX4" s="2"/>
      <c r="QZZ4" s="2"/>
      <c r="RAB4" s="2"/>
      <c r="RAD4" s="2"/>
      <c r="RAF4" s="2"/>
      <c r="RAH4" s="2"/>
      <c r="RAJ4" s="2"/>
      <c r="RAL4" s="2"/>
      <c r="RAN4" s="2"/>
      <c r="RAP4" s="2"/>
      <c r="RAR4" s="2"/>
      <c r="RAT4" s="2"/>
      <c r="RAV4" s="2"/>
      <c r="RAX4" s="2"/>
      <c r="RAZ4" s="2"/>
      <c r="RBB4" s="2"/>
      <c r="RBD4" s="2"/>
      <c r="RBF4" s="2"/>
      <c r="RBH4" s="2"/>
      <c r="RBJ4" s="2"/>
      <c r="RBL4" s="2"/>
      <c r="RBN4" s="2"/>
      <c r="RBP4" s="2"/>
      <c r="RBR4" s="2"/>
      <c r="RBT4" s="2"/>
      <c r="RBV4" s="2"/>
      <c r="RBX4" s="2"/>
      <c r="RBZ4" s="2"/>
      <c r="RCB4" s="2"/>
      <c r="RCD4" s="2"/>
      <c r="RCF4" s="2"/>
      <c r="RCH4" s="2"/>
      <c r="RCJ4" s="2"/>
      <c r="RCL4" s="2"/>
      <c r="RCN4" s="2"/>
      <c r="RCP4" s="2"/>
      <c r="RCR4" s="2"/>
      <c r="RCT4" s="2"/>
      <c r="RCV4" s="2"/>
      <c r="RCX4" s="2"/>
      <c r="RCZ4" s="2"/>
      <c r="RDB4" s="2"/>
      <c r="RDD4" s="2"/>
      <c r="RDF4" s="2"/>
      <c r="RDH4" s="2"/>
      <c r="RDJ4" s="2"/>
      <c r="RDL4" s="2"/>
      <c r="RDN4" s="2"/>
      <c r="RDP4" s="2"/>
      <c r="RDR4" s="2"/>
      <c r="RDT4" s="2"/>
      <c r="RDV4" s="2"/>
      <c r="RDX4" s="2"/>
      <c r="RDZ4" s="2"/>
      <c r="REB4" s="2"/>
      <c r="RED4" s="2"/>
      <c r="REF4" s="2"/>
      <c r="REH4" s="2"/>
      <c r="REJ4" s="2"/>
      <c r="REL4" s="2"/>
      <c r="REN4" s="2"/>
      <c r="REP4" s="2"/>
      <c r="RER4" s="2"/>
      <c r="RET4" s="2"/>
      <c r="REV4" s="2"/>
      <c r="REX4" s="2"/>
      <c r="REZ4" s="2"/>
      <c r="RFB4" s="2"/>
      <c r="RFD4" s="2"/>
      <c r="RFF4" s="2"/>
      <c r="RFH4" s="2"/>
      <c r="RFJ4" s="2"/>
      <c r="RFL4" s="2"/>
      <c r="RFN4" s="2"/>
      <c r="RFP4" s="2"/>
      <c r="RFR4" s="2"/>
      <c r="RFT4" s="2"/>
      <c r="RFV4" s="2"/>
      <c r="RFX4" s="2"/>
      <c r="RFZ4" s="2"/>
      <c r="RGB4" s="2"/>
      <c r="RGD4" s="2"/>
      <c r="RGF4" s="2"/>
      <c r="RGH4" s="2"/>
      <c r="RGJ4" s="2"/>
      <c r="RGL4" s="2"/>
      <c r="RGN4" s="2"/>
      <c r="RGP4" s="2"/>
      <c r="RGR4" s="2"/>
      <c r="RGT4" s="2"/>
      <c r="RGV4" s="2"/>
      <c r="RGX4" s="2"/>
      <c r="RGZ4" s="2"/>
      <c r="RHB4" s="2"/>
      <c r="RHD4" s="2"/>
      <c r="RHF4" s="2"/>
      <c r="RHH4" s="2"/>
      <c r="RHJ4" s="2"/>
      <c r="RHL4" s="2"/>
      <c r="RHN4" s="2"/>
      <c r="RHP4" s="2"/>
      <c r="RHR4" s="2"/>
      <c r="RHT4" s="2"/>
      <c r="RHV4" s="2"/>
      <c r="RHX4" s="2"/>
      <c r="RHZ4" s="2"/>
      <c r="RIB4" s="2"/>
      <c r="RID4" s="2"/>
      <c r="RIF4" s="2"/>
      <c r="RIH4" s="2"/>
      <c r="RIJ4" s="2"/>
      <c r="RIL4" s="2"/>
      <c r="RIN4" s="2"/>
      <c r="RIP4" s="2"/>
      <c r="RIR4" s="2"/>
      <c r="RIT4" s="2"/>
      <c r="RIV4" s="2"/>
      <c r="RIX4" s="2"/>
      <c r="RIZ4" s="2"/>
      <c r="RJB4" s="2"/>
      <c r="RJD4" s="2"/>
      <c r="RJF4" s="2"/>
      <c r="RJH4" s="2"/>
      <c r="RJJ4" s="2"/>
      <c r="RJL4" s="2"/>
      <c r="RJN4" s="2"/>
      <c r="RJP4" s="2"/>
      <c r="RJR4" s="2"/>
      <c r="RJT4" s="2"/>
      <c r="RJV4" s="2"/>
      <c r="RJX4" s="2"/>
      <c r="RJZ4" s="2"/>
      <c r="RKB4" s="2"/>
      <c r="RKD4" s="2"/>
      <c r="RKF4" s="2"/>
      <c r="RKH4" s="2"/>
      <c r="RKJ4" s="2"/>
      <c r="RKL4" s="2"/>
      <c r="RKN4" s="2"/>
      <c r="RKP4" s="2"/>
      <c r="RKR4" s="2"/>
      <c r="RKT4" s="2"/>
      <c r="RKV4" s="2"/>
      <c r="RKX4" s="2"/>
      <c r="RKZ4" s="2"/>
      <c r="RLB4" s="2"/>
      <c r="RLD4" s="2"/>
      <c r="RLF4" s="2"/>
      <c r="RLH4" s="2"/>
      <c r="RLJ4" s="2"/>
      <c r="RLL4" s="2"/>
      <c r="RLN4" s="2"/>
      <c r="RLP4" s="2"/>
      <c r="RLR4" s="2"/>
      <c r="RLT4" s="2"/>
      <c r="RLV4" s="2"/>
      <c r="RLX4" s="2"/>
      <c r="RLZ4" s="2"/>
      <c r="RMB4" s="2"/>
      <c r="RMD4" s="2"/>
      <c r="RMF4" s="2"/>
      <c r="RMH4" s="2"/>
      <c r="RMJ4" s="2"/>
      <c r="RML4" s="2"/>
      <c r="RMN4" s="2"/>
      <c r="RMP4" s="2"/>
      <c r="RMR4" s="2"/>
      <c r="RMT4" s="2"/>
      <c r="RMV4" s="2"/>
      <c r="RMX4" s="2"/>
      <c r="RMZ4" s="2"/>
      <c r="RNB4" s="2"/>
      <c r="RND4" s="2"/>
      <c r="RNF4" s="2"/>
      <c r="RNH4" s="2"/>
      <c r="RNJ4" s="2"/>
      <c r="RNL4" s="2"/>
      <c r="RNN4" s="2"/>
      <c r="RNP4" s="2"/>
      <c r="RNR4" s="2"/>
      <c r="RNT4" s="2"/>
      <c r="RNV4" s="2"/>
      <c r="RNX4" s="2"/>
      <c r="RNZ4" s="2"/>
      <c r="ROB4" s="2"/>
      <c r="ROD4" s="2"/>
      <c r="ROF4" s="2"/>
      <c r="ROH4" s="2"/>
      <c r="ROJ4" s="2"/>
      <c r="ROL4" s="2"/>
      <c r="RON4" s="2"/>
      <c r="ROP4" s="2"/>
      <c r="ROR4" s="2"/>
      <c r="ROT4" s="2"/>
      <c r="ROV4" s="2"/>
      <c r="ROX4" s="2"/>
      <c r="ROZ4" s="2"/>
      <c r="RPB4" s="2"/>
      <c r="RPD4" s="2"/>
      <c r="RPF4" s="2"/>
      <c r="RPH4" s="2"/>
      <c r="RPJ4" s="2"/>
      <c r="RPL4" s="2"/>
      <c r="RPN4" s="2"/>
      <c r="RPP4" s="2"/>
      <c r="RPR4" s="2"/>
      <c r="RPT4" s="2"/>
      <c r="RPV4" s="2"/>
      <c r="RPX4" s="2"/>
      <c r="RPZ4" s="2"/>
      <c r="RQB4" s="2"/>
      <c r="RQD4" s="2"/>
      <c r="RQF4" s="2"/>
      <c r="RQH4" s="2"/>
      <c r="RQJ4" s="2"/>
      <c r="RQL4" s="2"/>
      <c r="RQN4" s="2"/>
      <c r="RQP4" s="2"/>
      <c r="RQR4" s="2"/>
      <c r="RQT4" s="2"/>
      <c r="RQV4" s="2"/>
      <c r="RQX4" s="2"/>
      <c r="RQZ4" s="2"/>
      <c r="RRB4" s="2"/>
      <c r="RRD4" s="2"/>
      <c r="RRF4" s="2"/>
      <c r="RRH4" s="2"/>
      <c r="RRJ4" s="2"/>
      <c r="RRL4" s="2"/>
      <c r="RRN4" s="2"/>
      <c r="RRP4" s="2"/>
      <c r="RRR4" s="2"/>
      <c r="RRT4" s="2"/>
      <c r="RRV4" s="2"/>
      <c r="RRX4" s="2"/>
      <c r="RRZ4" s="2"/>
      <c r="RSB4" s="2"/>
      <c r="RSD4" s="2"/>
      <c r="RSF4" s="2"/>
      <c r="RSH4" s="2"/>
      <c r="RSJ4" s="2"/>
      <c r="RSL4" s="2"/>
      <c r="RSN4" s="2"/>
      <c r="RSP4" s="2"/>
      <c r="RSR4" s="2"/>
      <c r="RST4" s="2"/>
      <c r="RSV4" s="2"/>
      <c r="RSX4" s="2"/>
      <c r="RSZ4" s="2"/>
      <c r="RTB4" s="2"/>
      <c r="RTD4" s="2"/>
      <c r="RTF4" s="2"/>
      <c r="RTH4" s="2"/>
      <c r="RTJ4" s="2"/>
      <c r="RTL4" s="2"/>
      <c r="RTN4" s="2"/>
      <c r="RTP4" s="2"/>
      <c r="RTR4" s="2"/>
      <c r="RTT4" s="2"/>
      <c r="RTV4" s="2"/>
      <c r="RTX4" s="2"/>
      <c r="RTZ4" s="2"/>
      <c r="RUB4" s="2"/>
      <c r="RUD4" s="2"/>
      <c r="RUF4" s="2"/>
      <c r="RUH4" s="2"/>
      <c r="RUJ4" s="2"/>
      <c r="RUL4" s="2"/>
      <c r="RUN4" s="2"/>
      <c r="RUP4" s="2"/>
      <c r="RUR4" s="2"/>
      <c r="RUT4" s="2"/>
      <c r="RUV4" s="2"/>
      <c r="RUX4" s="2"/>
      <c r="RUZ4" s="2"/>
      <c r="RVB4" s="2"/>
      <c r="RVD4" s="2"/>
      <c r="RVF4" s="2"/>
      <c r="RVH4" s="2"/>
      <c r="RVJ4" s="2"/>
      <c r="RVL4" s="2"/>
      <c r="RVN4" s="2"/>
      <c r="RVP4" s="2"/>
      <c r="RVR4" s="2"/>
      <c r="RVT4" s="2"/>
      <c r="RVV4" s="2"/>
      <c r="RVX4" s="2"/>
      <c r="RVZ4" s="2"/>
      <c r="RWB4" s="2"/>
      <c r="RWD4" s="2"/>
      <c r="RWF4" s="2"/>
      <c r="RWH4" s="2"/>
      <c r="RWJ4" s="2"/>
      <c r="RWL4" s="2"/>
      <c r="RWN4" s="2"/>
      <c r="RWP4" s="2"/>
      <c r="RWR4" s="2"/>
      <c r="RWT4" s="2"/>
      <c r="RWV4" s="2"/>
      <c r="RWX4" s="2"/>
      <c r="RWZ4" s="2"/>
      <c r="RXB4" s="2"/>
      <c r="RXD4" s="2"/>
      <c r="RXF4" s="2"/>
      <c r="RXH4" s="2"/>
      <c r="RXJ4" s="2"/>
      <c r="RXL4" s="2"/>
      <c r="RXN4" s="2"/>
      <c r="RXP4" s="2"/>
      <c r="RXR4" s="2"/>
      <c r="RXT4" s="2"/>
      <c r="RXV4" s="2"/>
      <c r="RXX4" s="2"/>
      <c r="RXZ4" s="2"/>
      <c r="RYB4" s="2"/>
      <c r="RYD4" s="2"/>
      <c r="RYF4" s="2"/>
      <c r="RYH4" s="2"/>
      <c r="RYJ4" s="2"/>
      <c r="RYL4" s="2"/>
      <c r="RYN4" s="2"/>
      <c r="RYP4" s="2"/>
      <c r="RYR4" s="2"/>
      <c r="RYT4" s="2"/>
      <c r="RYV4" s="2"/>
      <c r="RYX4" s="2"/>
      <c r="RYZ4" s="2"/>
      <c r="RZB4" s="2"/>
      <c r="RZD4" s="2"/>
      <c r="RZF4" s="2"/>
      <c r="RZH4" s="2"/>
      <c r="RZJ4" s="2"/>
      <c r="RZL4" s="2"/>
      <c r="RZN4" s="2"/>
      <c r="RZP4" s="2"/>
      <c r="RZR4" s="2"/>
      <c r="RZT4" s="2"/>
      <c r="RZV4" s="2"/>
      <c r="RZX4" s="2"/>
      <c r="RZZ4" s="2"/>
      <c r="SAB4" s="2"/>
      <c r="SAD4" s="2"/>
      <c r="SAF4" s="2"/>
      <c r="SAH4" s="2"/>
      <c r="SAJ4" s="2"/>
      <c r="SAL4" s="2"/>
      <c r="SAN4" s="2"/>
      <c r="SAP4" s="2"/>
      <c r="SAR4" s="2"/>
      <c r="SAT4" s="2"/>
      <c r="SAV4" s="2"/>
      <c r="SAX4" s="2"/>
      <c r="SAZ4" s="2"/>
      <c r="SBB4" s="2"/>
      <c r="SBD4" s="2"/>
      <c r="SBF4" s="2"/>
      <c r="SBH4" s="2"/>
      <c r="SBJ4" s="2"/>
      <c r="SBL4" s="2"/>
      <c r="SBN4" s="2"/>
      <c r="SBP4" s="2"/>
      <c r="SBR4" s="2"/>
      <c r="SBT4" s="2"/>
      <c r="SBV4" s="2"/>
      <c r="SBX4" s="2"/>
      <c r="SBZ4" s="2"/>
      <c r="SCB4" s="2"/>
      <c r="SCD4" s="2"/>
      <c r="SCF4" s="2"/>
      <c r="SCH4" s="2"/>
      <c r="SCJ4" s="2"/>
      <c r="SCL4" s="2"/>
      <c r="SCN4" s="2"/>
      <c r="SCP4" s="2"/>
      <c r="SCR4" s="2"/>
      <c r="SCT4" s="2"/>
      <c r="SCV4" s="2"/>
      <c r="SCX4" s="2"/>
      <c r="SCZ4" s="2"/>
      <c r="SDB4" s="2"/>
      <c r="SDD4" s="2"/>
      <c r="SDF4" s="2"/>
      <c r="SDH4" s="2"/>
      <c r="SDJ4" s="2"/>
      <c r="SDL4" s="2"/>
      <c r="SDN4" s="2"/>
      <c r="SDP4" s="2"/>
      <c r="SDR4" s="2"/>
      <c r="SDT4" s="2"/>
      <c r="SDV4" s="2"/>
      <c r="SDX4" s="2"/>
      <c r="SDZ4" s="2"/>
      <c r="SEB4" s="2"/>
      <c r="SED4" s="2"/>
      <c r="SEF4" s="2"/>
      <c r="SEH4" s="2"/>
      <c r="SEJ4" s="2"/>
      <c r="SEL4" s="2"/>
      <c r="SEN4" s="2"/>
      <c r="SEP4" s="2"/>
      <c r="SER4" s="2"/>
      <c r="SET4" s="2"/>
      <c r="SEV4" s="2"/>
      <c r="SEX4" s="2"/>
      <c r="SEZ4" s="2"/>
      <c r="SFB4" s="2"/>
      <c r="SFD4" s="2"/>
      <c r="SFF4" s="2"/>
      <c r="SFH4" s="2"/>
      <c r="SFJ4" s="2"/>
      <c r="SFL4" s="2"/>
      <c r="SFN4" s="2"/>
      <c r="SFP4" s="2"/>
      <c r="SFR4" s="2"/>
      <c r="SFT4" s="2"/>
      <c r="SFV4" s="2"/>
      <c r="SFX4" s="2"/>
      <c r="SFZ4" s="2"/>
      <c r="SGB4" s="2"/>
      <c r="SGD4" s="2"/>
      <c r="SGF4" s="2"/>
      <c r="SGH4" s="2"/>
      <c r="SGJ4" s="2"/>
      <c r="SGL4" s="2"/>
      <c r="SGN4" s="2"/>
      <c r="SGP4" s="2"/>
      <c r="SGR4" s="2"/>
      <c r="SGT4" s="2"/>
      <c r="SGV4" s="2"/>
      <c r="SGX4" s="2"/>
      <c r="SGZ4" s="2"/>
      <c r="SHB4" s="2"/>
      <c r="SHD4" s="2"/>
      <c r="SHF4" s="2"/>
      <c r="SHH4" s="2"/>
      <c r="SHJ4" s="2"/>
      <c r="SHL4" s="2"/>
      <c r="SHN4" s="2"/>
      <c r="SHP4" s="2"/>
      <c r="SHR4" s="2"/>
      <c r="SHT4" s="2"/>
      <c r="SHV4" s="2"/>
      <c r="SHX4" s="2"/>
      <c r="SHZ4" s="2"/>
      <c r="SIB4" s="2"/>
      <c r="SID4" s="2"/>
      <c r="SIF4" s="2"/>
      <c r="SIH4" s="2"/>
      <c r="SIJ4" s="2"/>
      <c r="SIL4" s="2"/>
      <c r="SIN4" s="2"/>
      <c r="SIP4" s="2"/>
      <c r="SIR4" s="2"/>
      <c r="SIT4" s="2"/>
      <c r="SIV4" s="2"/>
      <c r="SIX4" s="2"/>
      <c r="SIZ4" s="2"/>
      <c r="SJB4" s="2"/>
      <c r="SJD4" s="2"/>
      <c r="SJF4" s="2"/>
      <c r="SJH4" s="2"/>
      <c r="SJJ4" s="2"/>
      <c r="SJL4" s="2"/>
      <c r="SJN4" s="2"/>
      <c r="SJP4" s="2"/>
      <c r="SJR4" s="2"/>
      <c r="SJT4" s="2"/>
      <c r="SJV4" s="2"/>
      <c r="SJX4" s="2"/>
      <c r="SJZ4" s="2"/>
      <c r="SKB4" s="2"/>
      <c r="SKD4" s="2"/>
      <c r="SKF4" s="2"/>
      <c r="SKH4" s="2"/>
      <c r="SKJ4" s="2"/>
      <c r="SKL4" s="2"/>
      <c r="SKN4" s="2"/>
      <c r="SKP4" s="2"/>
      <c r="SKR4" s="2"/>
      <c r="SKT4" s="2"/>
      <c r="SKV4" s="2"/>
      <c r="SKX4" s="2"/>
      <c r="SKZ4" s="2"/>
      <c r="SLB4" s="2"/>
      <c r="SLD4" s="2"/>
      <c r="SLF4" s="2"/>
      <c r="SLH4" s="2"/>
      <c r="SLJ4" s="2"/>
      <c r="SLL4" s="2"/>
      <c r="SLN4" s="2"/>
      <c r="SLP4" s="2"/>
      <c r="SLR4" s="2"/>
      <c r="SLT4" s="2"/>
      <c r="SLV4" s="2"/>
      <c r="SLX4" s="2"/>
      <c r="SLZ4" s="2"/>
      <c r="SMB4" s="2"/>
      <c r="SMD4" s="2"/>
      <c r="SMF4" s="2"/>
      <c r="SMH4" s="2"/>
      <c r="SMJ4" s="2"/>
      <c r="SML4" s="2"/>
      <c r="SMN4" s="2"/>
      <c r="SMP4" s="2"/>
      <c r="SMR4" s="2"/>
      <c r="SMT4" s="2"/>
      <c r="SMV4" s="2"/>
      <c r="SMX4" s="2"/>
      <c r="SMZ4" s="2"/>
      <c r="SNB4" s="2"/>
      <c r="SND4" s="2"/>
      <c r="SNF4" s="2"/>
      <c r="SNH4" s="2"/>
      <c r="SNJ4" s="2"/>
      <c r="SNL4" s="2"/>
      <c r="SNN4" s="2"/>
      <c r="SNP4" s="2"/>
      <c r="SNR4" s="2"/>
      <c r="SNT4" s="2"/>
      <c r="SNV4" s="2"/>
      <c r="SNX4" s="2"/>
      <c r="SNZ4" s="2"/>
      <c r="SOB4" s="2"/>
      <c r="SOD4" s="2"/>
      <c r="SOF4" s="2"/>
      <c r="SOH4" s="2"/>
      <c r="SOJ4" s="2"/>
      <c r="SOL4" s="2"/>
      <c r="SON4" s="2"/>
      <c r="SOP4" s="2"/>
      <c r="SOR4" s="2"/>
      <c r="SOT4" s="2"/>
      <c r="SOV4" s="2"/>
      <c r="SOX4" s="2"/>
      <c r="SOZ4" s="2"/>
      <c r="SPB4" s="2"/>
      <c r="SPD4" s="2"/>
      <c r="SPF4" s="2"/>
      <c r="SPH4" s="2"/>
      <c r="SPJ4" s="2"/>
      <c r="SPL4" s="2"/>
      <c r="SPN4" s="2"/>
      <c r="SPP4" s="2"/>
      <c r="SPR4" s="2"/>
      <c r="SPT4" s="2"/>
      <c r="SPV4" s="2"/>
      <c r="SPX4" s="2"/>
      <c r="SPZ4" s="2"/>
      <c r="SQB4" s="2"/>
      <c r="SQD4" s="2"/>
      <c r="SQF4" s="2"/>
      <c r="SQH4" s="2"/>
      <c r="SQJ4" s="2"/>
      <c r="SQL4" s="2"/>
      <c r="SQN4" s="2"/>
      <c r="SQP4" s="2"/>
      <c r="SQR4" s="2"/>
      <c r="SQT4" s="2"/>
      <c r="SQV4" s="2"/>
      <c r="SQX4" s="2"/>
      <c r="SQZ4" s="2"/>
      <c r="SRB4" s="2"/>
      <c r="SRD4" s="2"/>
      <c r="SRF4" s="2"/>
      <c r="SRH4" s="2"/>
      <c r="SRJ4" s="2"/>
      <c r="SRL4" s="2"/>
      <c r="SRN4" s="2"/>
      <c r="SRP4" s="2"/>
      <c r="SRR4" s="2"/>
      <c r="SRT4" s="2"/>
      <c r="SRV4" s="2"/>
      <c r="SRX4" s="2"/>
      <c r="SRZ4" s="2"/>
      <c r="SSB4" s="2"/>
      <c r="SSD4" s="2"/>
      <c r="SSF4" s="2"/>
      <c r="SSH4" s="2"/>
      <c r="SSJ4" s="2"/>
      <c r="SSL4" s="2"/>
      <c r="SSN4" s="2"/>
      <c r="SSP4" s="2"/>
      <c r="SSR4" s="2"/>
      <c r="SST4" s="2"/>
      <c r="SSV4" s="2"/>
      <c r="SSX4" s="2"/>
      <c r="SSZ4" s="2"/>
      <c r="STB4" s="2"/>
      <c r="STD4" s="2"/>
      <c r="STF4" s="2"/>
      <c r="STH4" s="2"/>
      <c r="STJ4" s="2"/>
      <c r="STL4" s="2"/>
      <c r="STN4" s="2"/>
      <c r="STP4" s="2"/>
      <c r="STR4" s="2"/>
      <c r="STT4" s="2"/>
      <c r="STV4" s="2"/>
      <c r="STX4" s="2"/>
      <c r="STZ4" s="2"/>
      <c r="SUB4" s="2"/>
      <c r="SUD4" s="2"/>
      <c r="SUF4" s="2"/>
      <c r="SUH4" s="2"/>
      <c r="SUJ4" s="2"/>
      <c r="SUL4" s="2"/>
      <c r="SUN4" s="2"/>
      <c r="SUP4" s="2"/>
      <c r="SUR4" s="2"/>
      <c r="SUT4" s="2"/>
      <c r="SUV4" s="2"/>
      <c r="SUX4" s="2"/>
      <c r="SUZ4" s="2"/>
      <c r="SVB4" s="2"/>
      <c r="SVD4" s="2"/>
      <c r="SVF4" s="2"/>
      <c r="SVH4" s="2"/>
      <c r="SVJ4" s="2"/>
      <c r="SVL4" s="2"/>
      <c r="SVN4" s="2"/>
      <c r="SVP4" s="2"/>
      <c r="SVR4" s="2"/>
      <c r="SVT4" s="2"/>
      <c r="SVV4" s="2"/>
      <c r="SVX4" s="2"/>
      <c r="SVZ4" s="2"/>
      <c r="SWB4" s="2"/>
      <c r="SWD4" s="2"/>
      <c r="SWF4" s="2"/>
      <c r="SWH4" s="2"/>
      <c r="SWJ4" s="2"/>
      <c r="SWL4" s="2"/>
      <c r="SWN4" s="2"/>
      <c r="SWP4" s="2"/>
      <c r="SWR4" s="2"/>
      <c r="SWT4" s="2"/>
      <c r="SWV4" s="2"/>
      <c r="SWX4" s="2"/>
      <c r="SWZ4" s="2"/>
      <c r="SXB4" s="2"/>
      <c r="SXD4" s="2"/>
      <c r="SXF4" s="2"/>
      <c r="SXH4" s="2"/>
      <c r="SXJ4" s="2"/>
      <c r="SXL4" s="2"/>
      <c r="SXN4" s="2"/>
      <c r="SXP4" s="2"/>
      <c r="SXR4" s="2"/>
      <c r="SXT4" s="2"/>
      <c r="SXV4" s="2"/>
      <c r="SXX4" s="2"/>
      <c r="SXZ4" s="2"/>
      <c r="SYB4" s="2"/>
      <c r="SYD4" s="2"/>
      <c r="SYF4" s="2"/>
      <c r="SYH4" s="2"/>
      <c r="SYJ4" s="2"/>
      <c r="SYL4" s="2"/>
      <c r="SYN4" s="2"/>
      <c r="SYP4" s="2"/>
      <c r="SYR4" s="2"/>
      <c r="SYT4" s="2"/>
      <c r="SYV4" s="2"/>
      <c r="SYX4" s="2"/>
      <c r="SYZ4" s="2"/>
      <c r="SZB4" s="2"/>
      <c r="SZD4" s="2"/>
      <c r="SZF4" s="2"/>
      <c r="SZH4" s="2"/>
      <c r="SZJ4" s="2"/>
      <c r="SZL4" s="2"/>
      <c r="SZN4" s="2"/>
      <c r="SZP4" s="2"/>
      <c r="SZR4" s="2"/>
      <c r="SZT4" s="2"/>
      <c r="SZV4" s="2"/>
      <c r="SZX4" s="2"/>
      <c r="SZZ4" s="2"/>
      <c r="TAB4" s="2"/>
      <c r="TAD4" s="2"/>
      <c r="TAF4" s="2"/>
      <c r="TAH4" s="2"/>
      <c r="TAJ4" s="2"/>
      <c r="TAL4" s="2"/>
      <c r="TAN4" s="2"/>
      <c r="TAP4" s="2"/>
      <c r="TAR4" s="2"/>
      <c r="TAT4" s="2"/>
      <c r="TAV4" s="2"/>
      <c r="TAX4" s="2"/>
      <c r="TAZ4" s="2"/>
      <c r="TBB4" s="2"/>
      <c r="TBD4" s="2"/>
      <c r="TBF4" s="2"/>
      <c r="TBH4" s="2"/>
      <c r="TBJ4" s="2"/>
      <c r="TBL4" s="2"/>
      <c r="TBN4" s="2"/>
      <c r="TBP4" s="2"/>
      <c r="TBR4" s="2"/>
      <c r="TBT4" s="2"/>
      <c r="TBV4" s="2"/>
      <c r="TBX4" s="2"/>
      <c r="TBZ4" s="2"/>
      <c r="TCB4" s="2"/>
      <c r="TCD4" s="2"/>
      <c r="TCF4" s="2"/>
      <c r="TCH4" s="2"/>
      <c r="TCJ4" s="2"/>
      <c r="TCL4" s="2"/>
      <c r="TCN4" s="2"/>
      <c r="TCP4" s="2"/>
      <c r="TCR4" s="2"/>
      <c r="TCT4" s="2"/>
      <c r="TCV4" s="2"/>
      <c r="TCX4" s="2"/>
      <c r="TCZ4" s="2"/>
      <c r="TDB4" s="2"/>
      <c r="TDD4" s="2"/>
      <c r="TDF4" s="2"/>
      <c r="TDH4" s="2"/>
      <c r="TDJ4" s="2"/>
      <c r="TDL4" s="2"/>
      <c r="TDN4" s="2"/>
      <c r="TDP4" s="2"/>
      <c r="TDR4" s="2"/>
      <c r="TDT4" s="2"/>
      <c r="TDV4" s="2"/>
      <c r="TDX4" s="2"/>
      <c r="TDZ4" s="2"/>
      <c r="TEB4" s="2"/>
      <c r="TED4" s="2"/>
      <c r="TEF4" s="2"/>
      <c r="TEH4" s="2"/>
      <c r="TEJ4" s="2"/>
      <c r="TEL4" s="2"/>
      <c r="TEN4" s="2"/>
      <c r="TEP4" s="2"/>
      <c r="TER4" s="2"/>
      <c r="TET4" s="2"/>
      <c r="TEV4" s="2"/>
      <c r="TEX4" s="2"/>
      <c r="TEZ4" s="2"/>
      <c r="TFB4" s="2"/>
      <c r="TFD4" s="2"/>
      <c r="TFF4" s="2"/>
      <c r="TFH4" s="2"/>
      <c r="TFJ4" s="2"/>
      <c r="TFL4" s="2"/>
      <c r="TFN4" s="2"/>
      <c r="TFP4" s="2"/>
      <c r="TFR4" s="2"/>
      <c r="TFT4" s="2"/>
      <c r="TFV4" s="2"/>
      <c r="TFX4" s="2"/>
      <c r="TFZ4" s="2"/>
      <c r="TGB4" s="2"/>
      <c r="TGD4" s="2"/>
      <c r="TGF4" s="2"/>
      <c r="TGH4" s="2"/>
      <c r="TGJ4" s="2"/>
      <c r="TGL4" s="2"/>
      <c r="TGN4" s="2"/>
      <c r="TGP4" s="2"/>
      <c r="TGR4" s="2"/>
      <c r="TGT4" s="2"/>
      <c r="TGV4" s="2"/>
      <c r="TGX4" s="2"/>
      <c r="TGZ4" s="2"/>
      <c r="THB4" s="2"/>
      <c r="THD4" s="2"/>
      <c r="THF4" s="2"/>
      <c r="THH4" s="2"/>
      <c r="THJ4" s="2"/>
      <c r="THL4" s="2"/>
      <c r="THN4" s="2"/>
      <c r="THP4" s="2"/>
      <c r="THR4" s="2"/>
      <c r="THT4" s="2"/>
      <c r="THV4" s="2"/>
      <c r="THX4" s="2"/>
      <c r="THZ4" s="2"/>
      <c r="TIB4" s="2"/>
      <c r="TID4" s="2"/>
      <c r="TIF4" s="2"/>
      <c r="TIH4" s="2"/>
      <c r="TIJ4" s="2"/>
      <c r="TIL4" s="2"/>
      <c r="TIN4" s="2"/>
      <c r="TIP4" s="2"/>
      <c r="TIR4" s="2"/>
      <c r="TIT4" s="2"/>
      <c r="TIV4" s="2"/>
      <c r="TIX4" s="2"/>
      <c r="TIZ4" s="2"/>
      <c r="TJB4" s="2"/>
      <c r="TJD4" s="2"/>
      <c r="TJF4" s="2"/>
      <c r="TJH4" s="2"/>
      <c r="TJJ4" s="2"/>
      <c r="TJL4" s="2"/>
      <c r="TJN4" s="2"/>
      <c r="TJP4" s="2"/>
      <c r="TJR4" s="2"/>
      <c r="TJT4" s="2"/>
      <c r="TJV4" s="2"/>
      <c r="TJX4" s="2"/>
      <c r="TJZ4" s="2"/>
      <c r="TKB4" s="2"/>
      <c r="TKD4" s="2"/>
      <c r="TKF4" s="2"/>
      <c r="TKH4" s="2"/>
      <c r="TKJ4" s="2"/>
      <c r="TKL4" s="2"/>
      <c r="TKN4" s="2"/>
      <c r="TKP4" s="2"/>
      <c r="TKR4" s="2"/>
      <c r="TKT4" s="2"/>
      <c r="TKV4" s="2"/>
      <c r="TKX4" s="2"/>
      <c r="TKZ4" s="2"/>
      <c r="TLB4" s="2"/>
      <c r="TLD4" s="2"/>
      <c r="TLF4" s="2"/>
      <c r="TLH4" s="2"/>
      <c r="TLJ4" s="2"/>
      <c r="TLL4" s="2"/>
      <c r="TLN4" s="2"/>
      <c r="TLP4" s="2"/>
      <c r="TLR4" s="2"/>
      <c r="TLT4" s="2"/>
      <c r="TLV4" s="2"/>
      <c r="TLX4" s="2"/>
      <c r="TLZ4" s="2"/>
      <c r="TMB4" s="2"/>
      <c r="TMD4" s="2"/>
      <c r="TMF4" s="2"/>
      <c r="TMH4" s="2"/>
      <c r="TMJ4" s="2"/>
      <c r="TML4" s="2"/>
      <c r="TMN4" s="2"/>
      <c r="TMP4" s="2"/>
      <c r="TMR4" s="2"/>
      <c r="TMT4" s="2"/>
      <c r="TMV4" s="2"/>
      <c r="TMX4" s="2"/>
      <c r="TMZ4" s="2"/>
      <c r="TNB4" s="2"/>
      <c r="TND4" s="2"/>
      <c r="TNF4" s="2"/>
      <c r="TNH4" s="2"/>
      <c r="TNJ4" s="2"/>
      <c r="TNL4" s="2"/>
      <c r="TNN4" s="2"/>
      <c r="TNP4" s="2"/>
      <c r="TNR4" s="2"/>
      <c r="TNT4" s="2"/>
      <c r="TNV4" s="2"/>
      <c r="TNX4" s="2"/>
      <c r="TNZ4" s="2"/>
      <c r="TOB4" s="2"/>
      <c r="TOD4" s="2"/>
      <c r="TOF4" s="2"/>
      <c r="TOH4" s="2"/>
      <c r="TOJ4" s="2"/>
      <c r="TOL4" s="2"/>
      <c r="TON4" s="2"/>
      <c r="TOP4" s="2"/>
      <c r="TOR4" s="2"/>
      <c r="TOT4" s="2"/>
      <c r="TOV4" s="2"/>
      <c r="TOX4" s="2"/>
      <c r="TOZ4" s="2"/>
      <c r="TPB4" s="2"/>
      <c r="TPD4" s="2"/>
      <c r="TPF4" s="2"/>
      <c r="TPH4" s="2"/>
      <c r="TPJ4" s="2"/>
      <c r="TPL4" s="2"/>
      <c r="TPN4" s="2"/>
      <c r="TPP4" s="2"/>
      <c r="TPR4" s="2"/>
      <c r="TPT4" s="2"/>
      <c r="TPV4" s="2"/>
      <c r="TPX4" s="2"/>
      <c r="TPZ4" s="2"/>
      <c r="TQB4" s="2"/>
      <c r="TQD4" s="2"/>
      <c r="TQF4" s="2"/>
      <c r="TQH4" s="2"/>
      <c r="TQJ4" s="2"/>
      <c r="TQL4" s="2"/>
      <c r="TQN4" s="2"/>
      <c r="TQP4" s="2"/>
      <c r="TQR4" s="2"/>
      <c r="TQT4" s="2"/>
      <c r="TQV4" s="2"/>
      <c r="TQX4" s="2"/>
      <c r="TQZ4" s="2"/>
      <c r="TRB4" s="2"/>
      <c r="TRD4" s="2"/>
      <c r="TRF4" s="2"/>
      <c r="TRH4" s="2"/>
      <c r="TRJ4" s="2"/>
      <c r="TRL4" s="2"/>
      <c r="TRN4" s="2"/>
      <c r="TRP4" s="2"/>
      <c r="TRR4" s="2"/>
      <c r="TRT4" s="2"/>
      <c r="TRV4" s="2"/>
      <c r="TRX4" s="2"/>
      <c r="TRZ4" s="2"/>
      <c r="TSB4" s="2"/>
      <c r="TSD4" s="2"/>
      <c r="TSF4" s="2"/>
      <c r="TSH4" s="2"/>
      <c r="TSJ4" s="2"/>
      <c r="TSL4" s="2"/>
      <c r="TSN4" s="2"/>
      <c r="TSP4" s="2"/>
      <c r="TSR4" s="2"/>
      <c r="TST4" s="2"/>
      <c r="TSV4" s="2"/>
      <c r="TSX4" s="2"/>
      <c r="TSZ4" s="2"/>
      <c r="TTB4" s="2"/>
      <c r="TTD4" s="2"/>
      <c r="TTF4" s="2"/>
      <c r="TTH4" s="2"/>
      <c r="TTJ4" s="2"/>
      <c r="TTL4" s="2"/>
      <c r="TTN4" s="2"/>
      <c r="TTP4" s="2"/>
      <c r="TTR4" s="2"/>
      <c r="TTT4" s="2"/>
      <c r="TTV4" s="2"/>
      <c r="TTX4" s="2"/>
      <c r="TTZ4" s="2"/>
      <c r="TUB4" s="2"/>
      <c r="TUD4" s="2"/>
      <c r="TUF4" s="2"/>
      <c r="TUH4" s="2"/>
      <c r="TUJ4" s="2"/>
      <c r="TUL4" s="2"/>
      <c r="TUN4" s="2"/>
      <c r="TUP4" s="2"/>
      <c r="TUR4" s="2"/>
      <c r="TUT4" s="2"/>
      <c r="TUV4" s="2"/>
      <c r="TUX4" s="2"/>
      <c r="TUZ4" s="2"/>
      <c r="TVB4" s="2"/>
      <c r="TVD4" s="2"/>
      <c r="TVF4" s="2"/>
      <c r="TVH4" s="2"/>
      <c r="TVJ4" s="2"/>
      <c r="TVL4" s="2"/>
      <c r="TVN4" s="2"/>
      <c r="TVP4" s="2"/>
      <c r="TVR4" s="2"/>
      <c r="TVT4" s="2"/>
      <c r="TVV4" s="2"/>
      <c r="TVX4" s="2"/>
      <c r="TVZ4" s="2"/>
      <c r="TWB4" s="2"/>
      <c r="TWD4" s="2"/>
      <c r="TWF4" s="2"/>
      <c r="TWH4" s="2"/>
      <c r="TWJ4" s="2"/>
      <c r="TWL4" s="2"/>
      <c r="TWN4" s="2"/>
      <c r="TWP4" s="2"/>
      <c r="TWR4" s="2"/>
      <c r="TWT4" s="2"/>
      <c r="TWV4" s="2"/>
      <c r="TWX4" s="2"/>
      <c r="TWZ4" s="2"/>
      <c r="TXB4" s="2"/>
      <c r="TXD4" s="2"/>
      <c r="TXF4" s="2"/>
      <c r="TXH4" s="2"/>
      <c r="TXJ4" s="2"/>
      <c r="TXL4" s="2"/>
      <c r="TXN4" s="2"/>
      <c r="TXP4" s="2"/>
      <c r="TXR4" s="2"/>
      <c r="TXT4" s="2"/>
      <c r="TXV4" s="2"/>
      <c r="TXX4" s="2"/>
      <c r="TXZ4" s="2"/>
      <c r="TYB4" s="2"/>
      <c r="TYD4" s="2"/>
      <c r="TYF4" s="2"/>
      <c r="TYH4" s="2"/>
      <c r="TYJ4" s="2"/>
      <c r="TYL4" s="2"/>
      <c r="TYN4" s="2"/>
      <c r="TYP4" s="2"/>
      <c r="TYR4" s="2"/>
      <c r="TYT4" s="2"/>
      <c r="TYV4" s="2"/>
      <c r="TYX4" s="2"/>
      <c r="TYZ4" s="2"/>
      <c r="TZB4" s="2"/>
      <c r="TZD4" s="2"/>
      <c r="TZF4" s="2"/>
      <c r="TZH4" s="2"/>
      <c r="TZJ4" s="2"/>
      <c r="TZL4" s="2"/>
      <c r="TZN4" s="2"/>
      <c r="TZP4" s="2"/>
      <c r="TZR4" s="2"/>
      <c r="TZT4" s="2"/>
      <c r="TZV4" s="2"/>
      <c r="TZX4" s="2"/>
      <c r="TZZ4" s="2"/>
      <c r="UAB4" s="2"/>
      <c r="UAD4" s="2"/>
      <c r="UAF4" s="2"/>
      <c r="UAH4" s="2"/>
      <c r="UAJ4" s="2"/>
      <c r="UAL4" s="2"/>
      <c r="UAN4" s="2"/>
      <c r="UAP4" s="2"/>
      <c r="UAR4" s="2"/>
      <c r="UAT4" s="2"/>
      <c r="UAV4" s="2"/>
      <c r="UAX4" s="2"/>
      <c r="UAZ4" s="2"/>
      <c r="UBB4" s="2"/>
      <c r="UBD4" s="2"/>
      <c r="UBF4" s="2"/>
      <c r="UBH4" s="2"/>
      <c r="UBJ4" s="2"/>
      <c r="UBL4" s="2"/>
      <c r="UBN4" s="2"/>
      <c r="UBP4" s="2"/>
      <c r="UBR4" s="2"/>
      <c r="UBT4" s="2"/>
      <c r="UBV4" s="2"/>
      <c r="UBX4" s="2"/>
      <c r="UBZ4" s="2"/>
      <c r="UCB4" s="2"/>
      <c r="UCD4" s="2"/>
      <c r="UCF4" s="2"/>
      <c r="UCH4" s="2"/>
      <c r="UCJ4" s="2"/>
      <c r="UCL4" s="2"/>
      <c r="UCN4" s="2"/>
      <c r="UCP4" s="2"/>
      <c r="UCR4" s="2"/>
      <c r="UCT4" s="2"/>
      <c r="UCV4" s="2"/>
      <c r="UCX4" s="2"/>
      <c r="UCZ4" s="2"/>
      <c r="UDB4" s="2"/>
      <c r="UDD4" s="2"/>
      <c r="UDF4" s="2"/>
      <c r="UDH4" s="2"/>
      <c r="UDJ4" s="2"/>
      <c r="UDL4" s="2"/>
      <c r="UDN4" s="2"/>
      <c r="UDP4" s="2"/>
      <c r="UDR4" s="2"/>
      <c r="UDT4" s="2"/>
      <c r="UDV4" s="2"/>
      <c r="UDX4" s="2"/>
      <c r="UDZ4" s="2"/>
      <c r="UEB4" s="2"/>
      <c r="UED4" s="2"/>
      <c r="UEF4" s="2"/>
      <c r="UEH4" s="2"/>
      <c r="UEJ4" s="2"/>
      <c r="UEL4" s="2"/>
      <c r="UEN4" s="2"/>
      <c r="UEP4" s="2"/>
      <c r="UER4" s="2"/>
      <c r="UET4" s="2"/>
      <c r="UEV4" s="2"/>
      <c r="UEX4" s="2"/>
      <c r="UEZ4" s="2"/>
      <c r="UFB4" s="2"/>
      <c r="UFD4" s="2"/>
      <c r="UFF4" s="2"/>
      <c r="UFH4" s="2"/>
      <c r="UFJ4" s="2"/>
      <c r="UFL4" s="2"/>
      <c r="UFN4" s="2"/>
      <c r="UFP4" s="2"/>
      <c r="UFR4" s="2"/>
      <c r="UFT4" s="2"/>
      <c r="UFV4" s="2"/>
      <c r="UFX4" s="2"/>
      <c r="UFZ4" s="2"/>
      <c r="UGB4" s="2"/>
      <c r="UGD4" s="2"/>
      <c r="UGF4" s="2"/>
      <c r="UGH4" s="2"/>
      <c r="UGJ4" s="2"/>
      <c r="UGL4" s="2"/>
      <c r="UGN4" s="2"/>
      <c r="UGP4" s="2"/>
      <c r="UGR4" s="2"/>
      <c r="UGT4" s="2"/>
      <c r="UGV4" s="2"/>
      <c r="UGX4" s="2"/>
      <c r="UGZ4" s="2"/>
      <c r="UHB4" s="2"/>
      <c r="UHD4" s="2"/>
      <c r="UHF4" s="2"/>
      <c r="UHH4" s="2"/>
      <c r="UHJ4" s="2"/>
      <c r="UHL4" s="2"/>
      <c r="UHN4" s="2"/>
      <c r="UHP4" s="2"/>
      <c r="UHR4" s="2"/>
      <c r="UHT4" s="2"/>
      <c r="UHV4" s="2"/>
      <c r="UHX4" s="2"/>
      <c r="UHZ4" s="2"/>
      <c r="UIB4" s="2"/>
      <c r="UID4" s="2"/>
      <c r="UIF4" s="2"/>
      <c r="UIH4" s="2"/>
      <c r="UIJ4" s="2"/>
      <c r="UIL4" s="2"/>
      <c r="UIN4" s="2"/>
      <c r="UIP4" s="2"/>
      <c r="UIR4" s="2"/>
      <c r="UIT4" s="2"/>
      <c r="UIV4" s="2"/>
      <c r="UIX4" s="2"/>
      <c r="UIZ4" s="2"/>
      <c r="UJB4" s="2"/>
      <c r="UJD4" s="2"/>
      <c r="UJF4" s="2"/>
      <c r="UJH4" s="2"/>
      <c r="UJJ4" s="2"/>
      <c r="UJL4" s="2"/>
      <c r="UJN4" s="2"/>
      <c r="UJP4" s="2"/>
      <c r="UJR4" s="2"/>
      <c r="UJT4" s="2"/>
      <c r="UJV4" s="2"/>
      <c r="UJX4" s="2"/>
      <c r="UJZ4" s="2"/>
      <c r="UKB4" s="2"/>
      <c r="UKD4" s="2"/>
      <c r="UKF4" s="2"/>
      <c r="UKH4" s="2"/>
      <c r="UKJ4" s="2"/>
      <c r="UKL4" s="2"/>
      <c r="UKN4" s="2"/>
      <c r="UKP4" s="2"/>
      <c r="UKR4" s="2"/>
      <c r="UKT4" s="2"/>
      <c r="UKV4" s="2"/>
      <c r="UKX4" s="2"/>
      <c r="UKZ4" s="2"/>
      <c r="ULB4" s="2"/>
      <c r="ULD4" s="2"/>
      <c r="ULF4" s="2"/>
      <c r="ULH4" s="2"/>
      <c r="ULJ4" s="2"/>
      <c r="ULL4" s="2"/>
      <c r="ULN4" s="2"/>
      <c r="ULP4" s="2"/>
      <c r="ULR4" s="2"/>
      <c r="ULT4" s="2"/>
      <c r="ULV4" s="2"/>
      <c r="ULX4" s="2"/>
      <c r="ULZ4" s="2"/>
      <c r="UMB4" s="2"/>
      <c r="UMD4" s="2"/>
      <c r="UMF4" s="2"/>
      <c r="UMH4" s="2"/>
      <c r="UMJ4" s="2"/>
      <c r="UML4" s="2"/>
      <c r="UMN4" s="2"/>
      <c r="UMP4" s="2"/>
      <c r="UMR4" s="2"/>
      <c r="UMT4" s="2"/>
      <c r="UMV4" s="2"/>
      <c r="UMX4" s="2"/>
      <c r="UMZ4" s="2"/>
      <c r="UNB4" s="2"/>
      <c r="UND4" s="2"/>
      <c r="UNF4" s="2"/>
      <c r="UNH4" s="2"/>
      <c r="UNJ4" s="2"/>
      <c r="UNL4" s="2"/>
      <c r="UNN4" s="2"/>
      <c r="UNP4" s="2"/>
      <c r="UNR4" s="2"/>
      <c r="UNT4" s="2"/>
      <c r="UNV4" s="2"/>
      <c r="UNX4" s="2"/>
      <c r="UNZ4" s="2"/>
      <c r="UOB4" s="2"/>
      <c r="UOD4" s="2"/>
      <c r="UOF4" s="2"/>
      <c r="UOH4" s="2"/>
      <c r="UOJ4" s="2"/>
      <c r="UOL4" s="2"/>
      <c r="UON4" s="2"/>
      <c r="UOP4" s="2"/>
      <c r="UOR4" s="2"/>
      <c r="UOT4" s="2"/>
      <c r="UOV4" s="2"/>
      <c r="UOX4" s="2"/>
      <c r="UOZ4" s="2"/>
      <c r="UPB4" s="2"/>
      <c r="UPD4" s="2"/>
      <c r="UPF4" s="2"/>
      <c r="UPH4" s="2"/>
      <c r="UPJ4" s="2"/>
      <c r="UPL4" s="2"/>
      <c r="UPN4" s="2"/>
      <c r="UPP4" s="2"/>
      <c r="UPR4" s="2"/>
      <c r="UPT4" s="2"/>
      <c r="UPV4" s="2"/>
      <c r="UPX4" s="2"/>
      <c r="UPZ4" s="2"/>
      <c r="UQB4" s="2"/>
      <c r="UQD4" s="2"/>
      <c r="UQF4" s="2"/>
      <c r="UQH4" s="2"/>
      <c r="UQJ4" s="2"/>
      <c r="UQL4" s="2"/>
      <c r="UQN4" s="2"/>
      <c r="UQP4" s="2"/>
      <c r="UQR4" s="2"/>
      <c r="UQT4" s="2"/>
      <c r="UQV4" s="2"/>
      <c r="UQX4" s="2"/>
      <c r="UQZ4" s="2"/>
      <c r="URB4" s="2"/>
      <c r="URD4" s="2"/>
      <c r="URF4" s="2"/>
      <c r="URH4" s="2"/>
      <c r="URJ4" s="2"/>
      <c r="URL4" s="2"/>
      <c r="URN4" s="2"/>
      <c r="URP4" s="2"/>
      <c r="URR4" s="2"/>
      <c r="URT4" s="2"/>
      <c r="URV4" s="2"/>
      <c r="URX4" s="2"/>
      <c r="URZ4" s="2"/>
      <c r="USB4" s="2"/>
      <c r="USD4" s="2"/>
      <c r="USF4" s="2"/>
      <c r="USH4" s="2"/>
      <c r="USJ4" s="2"/>
      <c r="USL4" s="2"/>
      <c r="USN4" s="2"/>
      <c r="USP4" s="2"/>
      <c r="USR4" s="2"/>
      <c r="UST4" s="2"/>
      <c r="USV4" s="2"/>
      <c r="USX4" s="2"/>
      <c r="USZ4" s="2"/>
      <c r="UTB4" s="2"/>
      <c r="UTD4" s="2"/>
      <c r="UTF4" s="2"/>
      <c r="UTH4" s="2"/>
      <c r="UTJ4" s="2"/>
      <c r="UTL4" s="2"/>
      <c r="UTN4" s="2"/>
      <c r="UTP4" s="2"/>
      <c r="UTR4" s="2"/>
      <c r="UTT4" s="2"/>
      <c r="UTV4" s="2"/>
      <c r="UTX4" s="2"/>
      <c r="UTZ4" s="2"/>
      <c r="UUB4" s="2"/>
      <c r="UUD4" s="2"/>
      <c r="UUF4" s="2"/>
      <c r="UUH4" s="2"/>
      <c r="UUJ4" s="2"/>
      <c r="UUL4" s="2"/>
      <c r="UUN4" s="2"/>
      <c r="UUP4" s="2"/>
      <c r="UUR4" s="2"/>
      <c r="UUT4" s="2"/>
      <c r="UUV4" s="2"/>
      <c r="UUX4" s="2"/>
      <c r="UUZ4" s="2"/>
      <c r="UVB4" s="2"/>
      <c r="UVD4" s="2"/>
      <c r="UVF4" s="2"/>
      <c r="UVH4" s="2"/>
      <c r="UVJ4" s="2"/>
      <c r="UVL4" s="2"/>
      <c r="UVN4" s="2"/>
      <c r="UVP4" s="2"/>
      <c r="UVR4" s="2"/>
      <c r="UVT4" s="2"/>
      <c r="UVV4" s="2"/>
      <c r="UVX4" s="2"/>
      <c r="UVZ4" s="2"/>
      <c r="UWB4" s="2"/>
      <c r="UWD4" s="2"/>
      <c r="UWF4" s="2"/>
      <c r="UWH4" s="2"/>
      <c r="UWJ4" s="2"/>
      <c r="UWL4" s="2"/>
      <c r="UWN4" s="2"/>
      <c r="UWP4" s="2"/>
      <c r="UWR4" s="2"/>
      <c r="UWT4" s="2"/>
      <c r="UWV4" s="2"/>
      <c r="UWX4" s="2"/>
      <c r="UWZ4" s="2"/>
      <c r="UXB4" s="2"/>
      <c r="UXD4" s="2"/>
      <c r="UXF4" s="2"/>
      <c r="UXH4" s="2"/>
      <c r="UXJ4" s="2"/>
      <c r="UXL4" s="2"/>
      <c r="UXN4" s="2"/>
      <c r="UXP4" s="2"/>
      <c r="UXR4" s="2"/>
      <c r="UXT4" s="2"/>
      <c r="UXV4" s="2"/>
      <c r="UXX4" s="2"/>
      <c r="UXZ4" s="2"/>
      <c r="UYB4" s="2"/>
      <c r="UYD4" s="2"/>
      <c r="UYF4" s="2"/>
      <c r="UYH4" s="2"/>
      <c r="UYJ4" s="2"/>
      <c r="UYL4" s="2"/>
      <c r="UYN4" s="2"/>
      <c r="UYP4" s="2"/>
      <c r="UYR4" s="2"/>
      <c r="UYT4" s="2"/>
      <c r="UYV4" s="2"/>
      <c r="UYX4" s="2"/>
      <c r="UYZ4" s="2"/>
      <c r="UZB4" s="2"/>
      <c r="UZD4" s="2"/>
      <c r="UZF4" s="2"/>
      <c r="UZH4" s="2"/>
      <c r="UZJ4" s="2"/>
      <c r="UZL4" s="2"/>
      <c r="UZN4" s="2"/>
      <c r="UZP4" s="2"/>
      <c r="UZR4" s="2"/>
      <c r="UZT4" s="2"/>
      <c r="UZV4" s="2"/>
      <c r="UZX4" s="2"/>
      <c r="UZZ4" s="2"/>
      <c r="VAB4" s="2"/>
      <c r="VAD4" s="2"/>
      <c r="VAF4" s="2"/>
      <c r="VAH4" s="2"/>
      <c r="VAJ4" s="2"/>
      <c r="VAL4" s="2"/>
      <c r="VAN4" s="2"/>
      <c r="VAP4" s="2"/>
      <c r="VAR4" s="2"/>
      <c r="VAT4" s="2"/>
      <c r="VAV4" s="2"/>
      <c r="VAX4" s="2"/>
      <c r="VAZ4" s="2"/>
      <c r="VBB4" s="2"/>
      <c r="VBD4" s="2"/>
      <c r="VBF4" s="2"/>
      <c r="VBH4" s="2"/>
      <c r="VBJ4" s="2"/>
      <c r="VBL4" s="2"/>
      <c r="VBN4" s="2"/>
      <c r="VBP4" s="2"/>
      <c r="VBR4" s="2"/>
      <c r="VBT4" s="2"/>
      <c r="VBV4" s="2"/>
      <c r="VBX4" s="2"/>
      <c r="VBZ4" s="2"/>
      <c r="VCB4" s="2"/>
      <c r="VCD4" s="2"/>
      <c r="VCF4" s="2"/>
      <c r="VCH4" s="2"/>
      <c r="VCJ4" s="2"/>
      <c r="VCL4" s="2"/>
      <c r="VCN4" s="2"/>
      <c r="VCP4" s="2"/>
      <c r="VCR4" s="2"/>
      <c r="VCT4" s="2"/>
      <c r="VCV4" s="2"/>
      <c r="VCX4" s="2"/>
      <c r="VCZ4" s="2"/>
      <c r="VDB4" s="2"/>
      <c r="VDD4" s="2"/>
      <c r="VDF4" s="2"/>
      <c r="VDH4" s="2"/>
      <c r="VDJ4" s="2"/>
      <c r="VDL4" s="2"/>
      <c r="VDN4" s="2"/>
      <c r="VDP4" s="2"/>
      <c r="VDR4" s="2"/>
      <c r="VDT4" s="2"/>
      <c r="VDV4" s="2"/>
      <c r="VDX4" s="2"/>
      <c r="VDZ4" s="2"/>
      <c r="VEB4" s="2"/>
      <c r="VED4" s="2"/>
      <c r="VEF4" s="2"/>
      <c r="VEH4" s="2"/>
      <c r="VEJ4" s="2"/>
      <c r="VEL4" s="2"/>
      <c r="VEN4" s="2"/>
      <c r="VEP4" s="2"/>
      <c r="VER4" s="2"/>
      <c r="VET4" s="2"/>
      <c r="VEV4" s="2"/>
      <c r="VEX4" s="2"/>
      <c r="VEZ4" s="2"/>
      <c r="VFB4" s="2"/>
      <c r="VFD4" s="2"/>
      <c r="VFF4" s="2"/>
      <c r="VFH4" s="2"/>
      <c r="VFJ4" s="2"/>
      <c r="VFL4" s="2"/>
      <c r="VFN4" s="2"/>
      <c r="VFP4" s="2"/>
      <c r="VFR4" s="2"/>
      <c r="VFT4" s="2"/>
      <c r="VFV4" s="2"/>
      <c r="VFX4" s="2"/>
      <c r="VFZ4" s="2"/>
      <c r="VGB4" s="2"/>
      <c r="VGD4" s="2"/>
      <c r="VGF4" s="2"/>
      <c r="VGH4" s="2"/>
      <c r="VGJ4" s="2"/>
      <c r="VGL4" s="2"/>
      <c r="VGN4" s="2"/>
      <c r="VGP4" s="2"/>
      <c r="VGR4" s="2"/>
      <c r="VGT4" s="2"/>
      <c r="VGV4" s="2"/>
      <c r="VGX4" s="2"/>
      <c r="VGZ4" s="2"/>
      <c r="VHB4" s="2"/>
      <c r="VHD4" s="2"/>
      <c r="VHF4" s="2"/>
      <c r="VHH4" s="2"/>
      <c r="VHJ4" s="2"/>
      <c r="VHL4" s="2"/>
      <c r="VHN4" s="2"/>
      <c r="VHP4" s="2"/>
      <c r="VHR4" s="2"/>
      <c r="VHT4" s="2"/>
      <c r="VHV4" s="2"/>
      <c r="VHX4" s="2"/>
      <c r="VHZ4" s="2"/>
      <c r="VIB4" s="2"/>
      <c r="VID4" s="2"/>
      <c r="VIF4" s="2"/>
      <c r="VIH4" s="2"/>
      <c r="VIJ4" s="2"/>
      <c r="VIL4" s="2"/>
      <c r="VIN4" s="2"/>
      <c r="VIP4" s="2"/>
      <c r="VIR4" s="2"/>
      <c r="VIT4" s="2"/>
      <c r="VIV4" s="2"/>
      <c r="VIX4" s="2"/>
      <c r="VIZ4" s="2"/>
      <c r="VJB4" s="2"/>
      <c r="VJD4" s="2"/>
      <c r="VJF4" s="2"/>
      <c r="VJH4" s="2"/>
      <c r="VJJ4" s="2"/>
      <c r="VJL4" s="2"/>
      <c r="VJN4" s="2"/>
      <c r="VJP4" s="2"/>
      <c r="VJR4" s="2"/>
      <c r="VJT4" s="2"/>
      <c r="VJV4" s="2"/>
      <c r="VJX4" s="2"/>
      <c r="VJZ4" s="2"/>
      <c r="VKB4" s="2"/>
      <c r="VKD4" s="2"/>
      <c r="VKF4" s="2"/>
      <c r="VKH4" s="2"/>
      <c r="VKJ4" s="2"/>
      <c r="VKL4" s="2"/>
      <c r="VKN4" s="2"/>
      <c r="VKP4" s="2"/>
      <c r="VKR4" s="2"/>
      <c r="VKT4" s="2"/>
      <c r="VKV4" s="2"/>
      <c r="VKX4" s="2"/>
      <c r="VKZ4" s="2"/>
      <c r="VLB4" s="2"/>
      <c r="VLD4" s="2"/>
      <c r="VLF4" s="2"/>
      <c r="VLH4" s="2"/>
      <c r="VLJ4" s="2"/>
      <c r="VLL4" s="2"/>
      <c r="VLN4" s="2"/>
      <c r="VLP4" s="2"/>
      <c r="VLR4" s="2"/>
      <c r="VLT4" s="2"/>
      <c r="VLV4" s="2"/>
      <c r="VLX4" s="2"/>
      <c r="VLZ4" s="2"/>
      <c r="VMB4" s="2"/>
      <c r="VMD4" s="2"/>
      <c r="VMF4" s="2"/>
      <c r="VMH4" s="2"/>
      <c r="VMJ4" s="2"/>
      <c r="VML4" s="2"/>
      <c r="VMN4" s="2"/>
      <c r="VMP4" s="2"/>
      <c r="VMR4" s="2"/>
      <c r="VMT4" s="2"/>
      <c r="VMV4" s="2"/>
      <c r="VMX4" s="2"/>
      <c r="VMZ4" s="2"/>
      <c r="VNB4" s="2"/>
      <c r="VND4" s="2"/>
      <c r="VNF4" s="2"/>
      <c r="VNH4" s="2"/>
      <c r="VNJ4" s="2"/>
      <c r="VNL4" s="2"/>
      <c r="VNN4" s="2"/>
      <c r="VNP4" s="2"/>
      <c r="VNR4" s="2"/>
      <c r="VNT4" s="2"/>
      <c r="VNV4" s="2"/>
      <c r="VNX4" s="2"/>
      <c r="VNZ4" s="2"/>
      <c r="VOB4" s="2"/>
      <c r="VOD4" s="2"/>
      <c r="VOF4" s="2"/>
      <c r="VOH4" s="2"/>
      <c r="VOJ4" s="2"/>
      <c r="VOL4" s="2"/>
      <c r="VON4" s="2"/>
      <c r="VOP4" s="2"/>
      <c r="VOR4" s="2"/>
      <c r="VOT4" s="2"/>
      <c r="VOV4" s="2"/>
      <c r="VOX4" s="2"/>
      <c r="VOZ4" s="2"/>
      <c r="VPB4" s="2"/>
      <c r="VPD4" s="2"/>
      <c r="VPF4" s="2"/>
      <c r="VPH4" s="2"/>
      <c r="VPJ4" s="2"/>
      <c r="VPL4" s="2"/>
      <c r="VPN4" s="2"/>
      <c r="VPP4" s="2"/>
      <c r="VPR4" s="2"/>
      <c r="VPT4" s="2"/>
      <c r="VPV4" s="2"/>
      <c r="VPX4" s="2"/>
      <c r="VPZ4" s="2"/>
      <c r="VQB4" s="2"/>
      <c r="VQD4" s="2"/>
      <c r="VQF4" s="2"/>
      <c r="VQH4" s="2"/>
      <c r="VQJ4" s="2"/>
      <c r="VQL4" s="2"/>
      <c r="VQN4" s="2"/>
      <c r="VQP4" s="2"/>
      <c r="VQR4" s="2"/>
      <c r="VQT4" s="2"/>
      <c r="VQV4" s="2"/>
      <c r="VQX4" s="2"/>
      <c r="VQZ4" s="2"/>
      <c r="VRB4" s="2"/>
      <c r="VRD4" s="2"/>
      <c r="VRF4" s="2"/>
      <c r="VRH4" s="2"/>
      <c r="VRJ4" s="2"/>
      <c r="VRL4" s="2"/>
      <c r="VRN4" s="2"/>
      <c r="VRP4" s="2"/>
      <c r="VRR4" s="2"/>
      <c r="VRT4" s="2"/>
      <c r="VRV4" s="2"/>
      <c r="VRX4" s="2"/>
      <c r="VRZ4" s="2"/>
      <c r="VSB4" s="2"/>
      <c r="VSD4" s="2"/>
      <c r="VSF4" s="2"/>
      <c r="VSH4" s="2"/>
      <c r="VSJ4" s="2"/>
      <c r="VSL4" s="2"/>
      <c r="VSN4" s="2"/>
      <c r="VSP4" s="2"/>
      <c r="VSR4" s="2"/>
      <c r="VST4" s="2"/>
      <c r="VSV4" s="2"/>
      <c r="VSX4" s="2"/>
      <c r="VSZ4" s="2"/>
      <c r="VTB4" s="2"/>
      <c r="VTD4" s="2"/>
      <c r="VTF4" s="2"/>
      <c r="VTH4" s="2"/>
      <c r="VTJ4" s="2"/>
      <c r="VTL4" s="2"/>
      <c r="VTN4" s="2"/>
      <c r="VTP4" s="2"/>
      <c r="VTR4" s="2"/>
      <c r="VTT4" s="2"/>
      <c r="VTV4" s="2"/>
      <c r="VTX4" s="2"/>
      <c r="VTZ4" s="2"/>
      <c r="VUB4" s="2"/>
      <c r="VUD4" s="2"/>
      <c r="VUF4" s="2"/>
      <c r="VUH4" s="2"/>
      <c r="VUJ4" s="2"/>
      <c r="VUL4" s="2"/>
      <c r="VUN4" s="2"/>
      <c r="VUP4" s="2"/>
      <c r="VUR4" s="2"/>
      <c r="VUT4" s="2"/>
      <c r="VUV4" s="2"/>
      <c r="VUX4" s="2"/>
      <c r="VUZ4" s="2"/>
      <c r="VVB4" s="2"/>
      <c r="VVD4" s="2"/>
      <c r="VVF4" s="2"/>
      <c r="VVH4" s="2"/>
      <c r="VVJ4" s="2"/>
      <c r="VVL4" s="2"/>
      <c r="VVN4" s="2"/>
      <c r="VVP4" s="2"/>
      <c r="VVR4" s="2"/>
      <c r="VVT4" s="2"/>
      <c r="VVV4" s="2"/>
      <c r="VVX4" s="2"/>
      <c r="VVZ4" s="2"/>
      <c r="VWB4" s="2"/>
      <c r="VWD4" s="2"/>
      <c r="VWF4" s="2"/>
      <c r="VWH4" s="2"/>
      <c r="VWJ4" s="2"/>
      <c r="VWL4" s="2"/>
      <c r="VWN4" s="2"/>
      <c r="VWP4" s="2"/>
      <c r="VWR4" s="2"/>
      <c r="VWT4" s="2"/>
      <c r="VWV4" s="2"/>
      <c r="VWX4" s="2"/>
      <c r="VWZ4" s="2"/>
      <c r="VXB4" s="2"/>
      <c r="VXD4" s="2"/>
      <c r="VXF4" s="2"/>
      <c r="VXH4" s="2"/>
      <c r="VXJ4" s="2"/>
      <c r="VXL4" s="2"/>
      <c r="VXN4" s="2"/>
      <c r="VXP4" s="2"/>
      <c r="VXR4" s="2"/>
      <c r="VXT4" s="2"/>
      <c r="VXV4" s="2"/>
      <c r="VXX4" s="2"/>
      <c r="VXZ4" s="2"/>
      <c r="VYB4" s="2"/>
      <c r="VYD4" s="2"/>
      <c r="VYF4" s="2"/>
      <c r="VYH4" s="2"/>
      <c r="VYJ4" s="2"/>
      <c r="VYL4" s="2"/>
      <c r="VYN4" s="2"/>
      <c r="VYP4" s="2"/>
      <c r="VYR4" s="2"/>
      <c r="VYT4" s="2"/>
      <c r="VYV4" s="2"/>
      <c r="VYX4" s="2"/>
      <c r="VYZ4" s="2"/>
      <c r="VZB4" s="2"/>
      <c r="VZD4" s="2"/>
      <c r="VZF4" s="2"/>
      <c r="VZH4" s="2"/>
      <c r="VZJ4" s="2"/>
      <c r="VZL4" s="2"/>
      <c r="VZN4" s="2"/>
      <c r="VZP4" s="2"/>
      <c r="VZR4" s="2"/>
      <c r="VZT4" s="2"/>
      <c r="VZV4" s="2"/>
      <c r="VZX4" s="2"/>
      <c r="VZZ4" s="2"/>
      <c r="WAB4" s="2"/>
      <c r="WAD4" s="2"/>
      <c r="WAF4" s="2"/>
      <c r="WAH4" s="2"/>
      <c r="WAJ4" s="2"/>
      <c r="WAL4" s="2"/>
      <c r="WAN4" s="2"/>
      <c r="WAP4" s="2"/>
      <c r="WAR4" s="2"/>
      <c r="WAT4" s="2"/>
      <c r="WAV4" s="2"/>
      <c r="WAX4" s="2"/>
      <c r="WAZ4" s="2"/>
      <c r="WBB4" s="2"/>
      <c r="WBD4" s="2"/>
      <c r="WBF4" s="2"/>
      <c r="WBH4" s="2"/>
      <c r="WBJ4" s="2"/>
      <c r="WBL4" s="2"/>
      <c r="WBN4" s="2"/>
      <c r="WBP4" s="2"/>
      <c r="WBR4" s="2"/>
      <c r="WBT4" s="2"/>
      <c r="WBV4" s="2"/>
      <c r="WBX4" s="2"/>
      <c r="WBZ4" s="2"/>
      <c r="WCB4" s="2"/>
      <c r="WCD4" s="2"/>
      <c r="WCF4" s="2"/>
      <c r="WCH4" s="2"/>
      <c r="WCJ4" s="2"/>
      <c r="WCL4" s="2"/>
      <c r="WCN4" s="2"/>
      <c r="WCP4" s="2"/>
      <c r="WCR4" s="2"/>
      <c r="WCT4" s="2"/>
      <c r="WCV4" s="2"/>
      <c r="WCX4" s="2"/>
      <c r="WCZ4" s="2"/>
      <c r="WDB4" s="2"/>
      <c r="WDD4" s="2"/>
      <c r="WDF4" s="2"/>
      <c r="WDH4" s="2"/>
      <c r="WDJ4" s="2"/>
      <c r="WDL4" s="2"/>
      <c r="WDN4" s="2"/>
      <c r="WDP4" s="2"/>
      <c r="WDR4" s="2"/>
      <c r="WDT4" s="2"/>
      <c r="WDV4" s="2"/>
      <c r="WDX4" s="2"/>
      <c r="WDZ4" s="2"/>
      <c r="WEB4" s="2"/>
      <c r="WED4" s="2"/>
      <c r="WEF4" s="2"/>
      <c r="WEH4" s="2"/>
      <c r="WEJ4" s="2"/>
      <c r="WEL4" s="2"/>
      <c r="WEN4" s="2"/>
      <c r="WEP4" s="2"/>
      <c r="WER4" s="2"/>
      <c r="WET4" s="2"/>
      <c r="WEV4" s="2"/>
      <c r="WEX4" s="2"/>
      <c r="WEZ4" s="2"/>
      <c r="WFB4" s="2"/>
      <c r="WFD4" s="2"/>
      <c r="WFF4" s="2"/>
      <c r="WFH4" s="2"/>
      <c r="WFJ4" s="2"/>
      <c r="WFL4" s="2"/>
      <c r="WFN4" s="2"/>
      <c r="WFP4" s="2"/>
      <c r="WFR4" s="2"/>
      <c r="WFT4" s="2"/>
      <c r="WFV4" s="2"/>
      <c r="WFX4" s="2"/>
      <c r="WFZ4" s="2"/>
      <c r="WGB4" s="2"/>
      <c r="WGD4" s="2"/>
      <c r="WGF4" s="2"/>
      <c r="WGH4" s="2"/>
      <c r="WGJ4" s="2"/>
      <c r="WGL4" s="2"/>
      <c r="WGN4" s="2"/>
      <c r="WGP4" s="2"/>
      <c r="WGR4" s="2"/>
      <c r="WGT4" s="2"/>
      <c r="WGV4" s="2"/>
      <c r="WGX4" s="2"/>
      <c r="WGZ4" s="2"/>
      <c r="WHB4" s="2"/>
      <c r="WHD4" s="2"/>
      <c r="WHF4" s="2"/>
      <c r="WHH4" s="2"/>
      <c r="WHJ4" s="2"/>
      <c r="WHL4" s="2"/>
      <c r="WHN4" s="2"/>
      <c r="WHP4" s="2"/>
      <c r="WHR4" s="2"/>
      <c r="WHT4" s="2"/>
      <c r="WHV4" s="2"/>
      <c r="WHX4" s="2"/>
      <c r="WHZ4" s="2"/>
      <c r="WIB4" s="2"/>
      <c r="WID4" s="2"/>
      <c r="WIF4" s="2"/>
      <c r="WIH4" s="2"/>
      <c r="WIJ4" s="2"/>
      <c r="WIL4" s="2"/>
      <c r="WIN4" s="2"/>
      <c r="WIP4" s="2"/>
      <c r="WIR4" s="2"/>
      <c r="WIT4" s="2"/>
      <c r="WIV4" s="2"/>
      <c r="WIX4" s="2"/>
      <c r="WIZ4" s="2"/>
      <c r="WJB4" s="2"/>
      <c r="WJD4" s="2"/>
      <c r="WJF4" s="2"/>
      <c r="WJH4" s="2"/>
      <c r="WJJ4" s="2"/>
      <c r="WJL4" s="2"/>
      <c r="WJN4" s="2"/>
      <c r="WJP4" s="2"/>
      <c r="WJR4" s="2"/>
      <c r="WJT4" s="2"/>
      <c r="WJV4" s="2"/>
      <c r="WJX4" s="2"/>
      <c r="WJZ4" s="2"/>
      <c r="WKB4" s="2"/>
      <c r="WKD4" s="2"/>
      <c r="WKF4" s="2"/>
      <c r="WKH4" s="2"/>
      <c r="WKJ4" s="2"/>
      <c r="WKL4" s="2"/>
      <c r="WKN4" s="2"/>
      <c r="WKP4" s="2"/>
      <c r="WKR4" s="2"/>
      <c r="WKT4" s="2"/>
      <c r="WKV4" s="2"/>
      <c r="WKX4" s="2"/>
      <c r="WKZ4" s="2"/>
      <c r="WLB4" s="2"/>
      <c r="WLD4" s="2"/>
      <c r="WLF4" s="2"/>
      <c r="WLH4" s="2"/>
      <c r="WLJ4" s="2"/>
      <c r="WLL4" s="2"/>
      <c r="WLN4" s="2"/>
      <c r="WLP4" s="2"/>
      <c r="WLR4" s="2"/>
      <c r="WLT4" s="2"/>
      <c r="WLV4" s="2"/>
      <c r="WLX4" s="2"/>
      <c r="WLZ4" s="2"/>
      <c r="WMB4" s="2"/>
      <c r="WMD4" s="2"/>
      <c r="WMF4" s="2"/>
      <c r="WMH4" s="2"/>
      <c r="WMJ4" s="2"/>
      <c r="WML4" s="2"/>
      <c r="WMN4" s="2"/>
      <c r="WMP4" s="2"/>
      <c r="WMR4" s="2"/>
      <c r="WMT4" s="2"/>
      <c r="WMV4" s="2"/>
      <c r="WMX4" s="2"/>
      <c r="WMZ4" s="2"/>
      <c r="WNB4" s="2"/>
      <c r="WND4" s="2"/>
      <c r="WNF4" s="2"/>
      <c r="WNH4" s="2"/>
      <c r="WNJ4" s="2"/>
      <c r="WNL4" s="2"/>
      <c r="WNN4" s="2"/>
      <c r="WNP4" s="2"/>
      <c r="WNR4" s="2"/>
      <c r="WNT4" s="2"/>
      <c r="WNV4" s="2"/>
      <c r="WNX4" s="2"/>
      <c r="WNZ4" s="2"/>
      <c r="WOB4" s="2"/>
      <c r="WOD4" s="2"/>
      <c r="WOF4" s="2"/>
      <c r="WOH4" s="2"/>
      <c r="WOJ4" s="2"/>
      <c r="WOL4" s="2"/>
      <c r="WON4" s="2"/>
      <c r="WOP4" s="2"/>
      <c r="WOR4" s="2"/>
      <c r="WOT4" s="2"/>
      <c r="WOV4" s="2"/>
      <c r="WOX4" s="2"/>
      <c r="WOZ4" s="2"/>
      <c r="WPB4" s="2"/>
      <c r="WPD4" s="2"/>
      <c r="WPF4" s="2"/>
      <c r="WPH4" s="2"/>
      <c r="WPJ4" s="2"/>
      <c r="WPL4" s="2"/>
      <c r="WPN4" s="2"/>
      <c r="WPP4" s="2"/>
      <c r="WPR4" s="2"/>
      <c r="WPT4" s="2"/>
      <c r="WPV4" s="2"/>
      <c r="WPX4" s="2"/>
      <c r="WPZ4" s="2"/>
      <c r="WQB4" s="2"/>
      <c r="WQD4" s="2"/>
      <c r="WQF4" s="2"/>
      <c r="WQH4" s="2"/>
      <c r="WQJ4" s="2"/>
      <c r="WQL4" s="2"/>
      <c r="WQN4" s="2"/>
      <c r="WQP4" s="2"/>
      <c r="WQR4" s="2"/>
      <c r="WQT4" s="2"/>
      <c r="WQV4" s="2"/>
      <c r="WQX4" s="2"/>
      <c r="WQZ4" s="2"/>
      <c r="WRB4" s="2"/>
      <c r="WRD4" s="2"/>
      <c r="WRF4" s="2"/>
      <c r="WRH4" s="2"/>
      <c r="WRJ4" s="2"/>
      <c r="WRL4" s="2"/>
      <c r="WRN4" s="2"/>
      <c r="WRP4" s="2"/>
      <c r="WRR4" s="2"/>
      <c r="WRT4" s="2"/>
      <c r="WRV4" s="2"/>
      <c r="WRX4" s="2"/>
      <c r="WRZ4" s="2"/>
      <c r="WSB4" s="2"/>
      <c r="WSD4" s="2"/>
      <c r="WSF4" s="2"/>
      <c r="WSH4" s="2"/>
      <c r="WSJ4" s="2"/>
      <c r="WSL4" s="2"/>
      <c r="WSN4" s="2"/>
      <c r="WSP4" s="2"/>
      <c r="WSR4" s="2"/>
      <c r="WST4" s="2"/>
      <c r="WSV4" s="2"/>
      <c r="WSX4" s="2"/>
      <c r="WSZ4" s="2"/>
      <c r="WTB4" s="2"/>
      <c r="WTD4" s="2"/>
      <c r="WTF4" s="2"/>
      <c r="WTH4" s="2"/>
      <c r="WTJ4" s="2"/>
      <c r="WTL4" s="2"/>
      <c r="WTN4" s="2"/>
      <c r="WTP4" s="2"/>
      <c r="WTR4" s="2"/>
      <c r="WTT4" s="2"/>
      <c r="WTV4" s="2"/>
      <c r="WTX4" s="2"/>
      <c r="WTZ4" s="2"/>
      <c r="WUB4" s="2"/>
      <c r="WUD4" s="2"/>
      <c r="WUF4" s="2"/>
      <c r="WUH4" s="2"/>
      <c r="WUJ4" s="2"/>
      <c r="WUL4" s="2"/>
      <c r="WUN4" s="2"/>
      <c r="WUP4" s="2"/>
      <c r="WUR4" s="2"/>
      <c r="WUT4" s="2"/>
      <c r="WUV4" s="2"/>
      <c r="WUX4" s="2"/>
      <c r="WUZ4" s="2"/>
      <c r="WVB4" s="2"/>
      <c r="WVD4" s="2"/>
      <c r="WVF4" s="2"/>
      <c r="WVH4" s="2"/>
      <c r="WVJ4" s="2"/>
      <c r="WVL4" s="2"/>
      <c r="WVN4" s="2"/>
      <c r="WVP4" s="2"/>
      <c r="WVR4" s="2"/>
      <c r="WVT4" s="2"/>
      <c r="WVV4" s="2"/>
      <c r="WVX4" s="2"/>
      <c r="WVZ4" s="2"/>
      <c r="WWB4" s="2"/>
      <c r="WWD4" s="2"/>
      <c r="WWF4" s="2"/>
      <c r="WWH4" s="2"/>
      <c r="WWJ4" s="2"/>
      <c r="WWL4" s="2"/>
      <c r="WWN4" s="2"/>
      <c r="WWP4" s="2"/>
      <c r="WWR4" s="2"/>
      <c r="WWT4" s="2"/>
      <c r="WWV4" s="2"/>
      <c r="WWX4" s="2"/>
      <c r="WWZ4" s="2"/>
      <c r="WXB4" s="2"/>
      <c r="WXD4" s="2"/>
      <c r="WXF4" s="2"/>
      <c r="WXH4" s="2"/>
      <c r="WXJ4" s="2"/>
      <c r="WXL4" s="2"/>
      <c r="WXN4" s="2"/>
      <c r="WXP4" s="2"/>
      <c r="WXR4" s="2"/>
      <c r="WXT4" s="2"/>
      <c r="WXV4" s="2"/>
      <c r="WXX4" s="2"/>
      <c r="WXZ4" s="2"/>
      <c r="WYB4" s="2"/>
      <c r="WYD4" s="2"/>
      <c r="WYF4" s="2"/>
      <c r="WYH4" s="2"/>
      <c r="WYJ4" s="2"/>
      <c r="WYL4" s="2"/>
      <c r="WYN4" s="2"/>
      <c r="WYP4" s="2"/>
      <c r="WYR4" s="2"/>
      <c r="WYT4" s="2"/>
      <c r="WYV4" s="2"/>
      <c r="WYX4" s="2"/>
      <c r="WYZ4" s="2"/>
      <c r="WZB4" s="2"/>
      <c r="WZD4" s="2"/>
      <c r="WZF4" s="2"/>
      <c r="WZH4" s="2"/>
      <c r="WZJ4" s="2"/>
      <c r="WZL4" s="2"/>
      <c r="WZN4" s="2"/>
      <c r="WZP4" s="2"/>
      <c r="WZR4" s="2"/>
      <c r="WZT4" s="2"/>
      <c r="WZV4" s="2"/>
      <c r="WZX4" s="2"/>
      <c r="WZZ4" s="2"/>
      <c r="XAB4" s="2"/>
      <c r="XAD4" s="2"/>
      <c r="XAF4" s="2"/>
      <c r="XAH4" s="2"/>
      <c r="XAJ4" s="2"/>
      <c r="XAL4" s="2"/>
      <c r="XAN4" s="2"/>
      <c r="XAP4" s="2"/>
      <c r="XAR4" s="2"/>
      <c r="XAT4" s="2"/>
      <c r="XAV4" s="2"/>
      <c r="XAX4" s="2"/>
      <c r="XAZ4" s="2"/>
      <c r="XBB4" s="2"/>
      <c r="XBD4" s="2"/>
      <c r="XBF4" s="2"/>
      <c r="XBH4" s="2"/>
      <c r="XBJ4" s="2"/>
      <c r="XBL4" s="2"/>
      <c r="XBN4" s="2"/>
      <c r="XBP4" s="2"/>
      <c r="XBR4" s="2"/>
      <c r="XBT4" s="2"/>
      <c r="XBV4" s="2"/>
      <c r="XBX4" s="2"/>
      <c r="XBZ4" s="2"/>
      <c r="XCB4" s="2"/>
      <c r="XCD4" s="2"/>
      <c r="XCF4" s="2"/>
      <c r="XCH4" s="2"/>
      <c r="XCJ4" s="2"/>
      <c r="XCL4" s="2"/>
      <c r="XCN4" s="2"/>
      <c r="XCP4" s="2"/>
      <c r="XCR4" s="2"/>
      <c r="XCT4" s="2"/>
      <c r="XCV4" s="2"/>
      <c r="XCX4" s="2"/>
      <c r="XCZ4" s="2"/>
      <c r="XDB4" s="2"/>
      <c r="XDD4" s="2"/>
      <c r="XDF4" s="2"/>
      <c r="XDH4" s="2"/>
      <c r="XDJ4" s="2"/>
      <c r="XDL4" s="2"/>
      <c r="XDN4" s="2"/>
      <c r="XDP4" s="2"/>
      <c r="XDR4" s="2"/>
      <c r="XDT4" s="2"/>
      <c r="XDV4" s="2"/>
      <c r="XDX4" s="2"/>
      <c r="XDZ4" s="2"/>
      <c r="XEB4" s="2"/>
      <c r="XED4" s="2"/>
      <c r="XEF4" s="2"/>
      <c r="XEH4" s="2"/>
      <c r="XEJ4" s="2"/>
      <c r="XEL4" s="2"/>
      <c r="XEN4" s="2"/>
      <c r="XEP4" s="2"/>
      <c r="XER4" s="2"/>
      <c r="XET4" s="2"/>
      <c r="XEV4" s="2"/>
      <c r="XEX4" s="2"/>
      <c r="XEZ4" s="2"/>
    </row>
    <row r="5" spans="1:1024 1026:2048 2050:3072 3074:4096 4098:5120 5122:6144 6146:7168 7170:8192 8194:9216 9218:10240 10242:11264 11266:12288 12290:13312 13314:14336 14338:15360 15362:16380" ht="14.4" customHeight="1" x14ac:dyDescent="0.3">
      <c r="A5" s="2"/>
      <c r="B5" s="241" t="s">
        <v>347</v>
      </c>
      <c r="C5" s="241"/>
      <c r="D5" s="241"/>
      <c r="E5" s="2"/>
      <c r="G5" s="2"/>
      <c r="J5" s="2"/>
      <c r="L5" s="2"/>
      <c r="N5" s="2"/>
      <c r="P5" s="2"/>
      <c r="R5" s="2"/>
      <c r="T5" s="2"/>
      <c r="V5" s="2"/>
      <c r="X5" s="2"/>
      <c r="Z5" s="2"/>
      <c r="AB5" s="2"/>
      <c r="AD5" s="2"/>
      <c r="AF5" s="2"/>
      <c r="AH5" s="2"/>
      <c r="AJ5" s="2"/>
      <c r="AL5" s="2"/>
      <c r="AN5" s="2"/>
      <c r="AP5" s="2"/>
      <c r="AR5" s="2"/>
      <c r="AT5" s="2"/>
      <c r="AV5" s="2"/>
      <c r="AX5" s="2"/>
      <c r="AZ5" s="2"/>
      <c r="BB5" s="2"/>
      <c r="BD5" s="2"/>
      <c r="BF5" s="2"/>
      <c r="BH5" s="2"/>
      <c r="BJ5" s="2"/>
      <c r="BL5" s="2"/>
      <c r="BN5" s="2"/>
      <c r="BP5" s="2"/>
      <c r="BR5" s="2"/>
      <c r="BT5" s="2"/>
      <c r="BV5" s="2"/>
      <c r="BX5" s="2"/>
      <c r="BZ5" s="2"/>
      <c r="CB5" s="2"/>
      <c r="CD5" s="2"/>
      <c r="CF5" s="2"/>
      <c r="CH5" s="2"/>
      <c r="CJ5" s="2"/>
      <c r="CL5" s="2"/>
      <c r="CN5" s="2"/>
      <c r="CP5" s="2"/>
      <c r="CR5" s="2"/>
      <c r="CT5" s="2"/>
      <c r="CV5" s="2"/>
      <c r="CX5" s="2"/>
      <c r="CZ5" s="2"/>
      <c r="DB5" s="2"/>
      <c r="DD5" s="2"/>
      <c r="DF5" s="2"/>
      <c r="DH5" s="2"/>
      <c r="DJ5" s="2"/>
      <c r="DL5" s="2"/>
      <c r="DN5" s="2"/>
      <c r="DP5" s="2"/>
      <c r="DR5" s="2"/>
      <c r="DT5" s="2"/>
      <c r="DV5" s="2"/>
      <c r="DX5" s="2"/>
      <c r="DZ5" s="2"/>
      <c r="EB5" s="2"/>
      <c r="ED5" s="2"/>
      <c r="EF5" s="2"/>
      <c r="EH5" s="2"/>
      <c r="EJ5" s="2"/>
      <c r="EL5" s="2"/>
      <c r="EN5" s="2"/>
      <c r="EP5" s="2"/>
      <c r="ER5" s="2"/>
      <c r="ET5" s="2"/>
      <c r="EV5" s="2"/>
      <c r="EX5" s="2"/>
      <c r="EZ5" s="2"/>
      <c r="FB5" s="2"/>
      <c r="FD5" s="2"/>
      <c r="FF5" s="2"/>
      <c r="FH5" s="2"/>
      <c r="FJ5" s="2"/>
      <c r="FL5" s="2"/>
      <c r="FN5" s="2"/>
      <c r="FP5" s="2"/>
      <c r="FR5" s="2"/>
      <c r="FT5" s="2"/>
      <c r="FV5" s="2"/>
      <c r="FX5" s="2"/>
      <c r="FZ5" s="2"/>
      <c r="GB5" s="2"/>
      <c r="GD5" s="2"/>
      <c r="GF5" s="2"/>
      <c r="GH5" s="2"/>
      <c r="GJ5" s="2"/>
      <c r="GL5" s="2"/>
      <c r="GN5" s="2"/>
      <c r="GP5" s="2"/>
      <c r="GR5" s="2"/>
      <c r="GT5" s="2"/>
      <c r="GV5" s="2"/>
      <c r="GX5" s="2"/>
      <c r="GZ5" s="2"/>
      <c r="HB5" s="2"/>
      <c r="HD5" s="2"/>
      <c r="HF5" s="2"/>
      <c r="HH5" s="2"/>
      <c r="HJ5" s="2"/>
      <c r="HL5" s="2"/>
      <c r="HN5" s="2"/>
      <c r="HP5" s="2"/>
      <c r="HR5" s="2"/>
      <c r="HT5" s="2"/>
      <c r="HV5" s="2"/>
      <c r="HX5" s="2"/>
      <c r="HZ5" s="2"/>
      <c r="IB5" s="2"/>
      <c r="ID5" s="2"/>
      <c r="IF5" s="2"/>
      <c r="IH5" s="2"/>
      <c r="IJ5" s="2"/>
      <c r="IL5" s="2"/>
      <c r="IN5" s="2"/>
      <c r="IP5" s="2"/>
      <c r="IR5" s="2"/>
      <c r="IT5" s="2"/>
      <c r="IV5" s="2"/>
      <c r="IX5" s="2"/>
      <c r="IZ5" s="2"/>
      <c r="JB5" s="2"/>
      <c r="JD5" s="2"/>
      <c r="JF5" s="2"/>
      <c r="JH5" s="2"/>
      <c r="JJ5" s="2"/>
      <c r="JL5" s="2"/>
      <c r="JN5" s="2"/>
      <c r="JP5" s="2"/>
      <c r="JR5" s="2"/>
      <c r="JT5" s="2"/>
      <c r="JV5" s="2"/>
      <c r="JX5" s="2"/>
      <c r="JZ5" s="2"/>
      <c r="KB5" s="2"/>
      <c r="KD5" s="2"/>
      <c r="KF5" s="2"/>
      <c r="KH5" s="2"/>
      <c r="KJ5" s="2"/>
      <c r="KL5" s="2"/>
      <c r="KN5" s="2"/>
      <c r="KP5" s="2"/>
      <c r="KR5" s="2"/>
      <c r="KT5" s="2"/>
      <c r="KV5" s="2"/>
      <c r="KX5" s="2"/>
      <c r="KZ5" s="2"/>
      <c r="LB5" s="2"/>
      <c r="LD5" s="2"/>
      <c r="LF5" s="2"/>
      <c r="LH5" s="2"/>
      <c r="LJ5" s="2"/>
      <c r="LL5" s="2"/>
      <c r="LN5" s="2"/>
      <c r="LP5" s="2"/>
      <c r="LR5" s="2"/>
      <c r="LT5" s="2"/>
      <c r="LV5" s="2"/>
      <c r="LX5" s="2"/>
      <c r="LZ5" s="2"/>
      <c r="MB5" s="2"/>
      <c r="MD5" s="2"/>
      <c r="MF5" s="2"/>
      <c r="MH5" s="2"/>
      <c r="MJ5" s="2"/>
      <c r="ML5" s="2"/>
      <c r="MN5" s="2"/>
      <c r="MP5" s="2"/>
      <c r="MR5" s="2"/>
      <c r="MT5" s="2"/>
      <c r="MV5" s="2"/>
      <c r="MX5" s="2"/>
      <c r="MZ5" s="2"/>
      <c r="NB5" s="2"/>
      <c r="ND5" s="2"/>
      <c r="NF5" s="2"/>
      <c r="NH5" s="2"/>
      <c r="NJ5" s="2"/>
      <c r="NL5" s="2"/>
      <c r="NN5" s="2"/>
      <c r="NP5" s="2"/>
      <c r="NR5" s="2"/>
      <c r="NT5" s="2"/>
      <c r="NV5" s="2"/>
      <c r="NX5" s="2"/>
      <c r="NZ5" s="2"/>
      <c r="OB5" s="2"/>
      <c r="OD5" s="2"/>
      <c r="OF5" s="2"/>
      <c r="OH5" s="2"/>
      <c r="OJ5" s="2"/>
      <c r="OL5" s="2"/>
      <c r="ON5" s="2"/>
      <c r="OP5" s="2"/>
      <c r="OR5" s="2"/>
      <c r="OT5" s="2"/>
      <c r="OV5" s="2"/>
      <c r="OX5" s="2"/>
      <c r="OZ5" s="2"/>
      <c r="PB5" s="2"/>
      <c r="PD5" s="2"/>
      <c r="PF5" s="2"/>
      <c r="PH5" s="2"/>
      <c r="PJ5" s="2"/>
      <c r="PL5" s="2"/>
      <c r="PN5" s="2"/>
      <c r="PP5" s="2"/>
      <c r="PR5" s="2"/>
      <c r="PT5" s="2"/>
      <c r="PV5" s="2"/>
      <c r="PX5" s="2"/>
      <c r="PZ5" s="2"/>
      <c r="QB5" s="2"/>
      <c r="QD5" s="2"/>
      <c r="QF5" s="2"/>
      <c r="QH5" s="2"/>
      <c r="QJ5" s="2"/>
      <c r="QL5" s="2"/>
      <c r="QN5" s="2"/>
      <c r="QP5" s="2"/>
      <c r="QR5" s="2"/>
      <c r="QT5" s="2"/>
      <c r="QV5" s="2"/>
      <c r="QX5" s="2"/>
      <c r="QZ5" s="2"/>
      <c r="RB5" s="2"/>
      <c r="RD5" s="2"/>
      <c r="RF5" s="2"/>
      <c r="RH5" s="2"/>
      <c r="RJ5" s="2"/>
      <c r="RL5" s="2"/>
      <c r="RN5" s="2"/>
      <c r="RP5" s="2"/>
      <c r="RR5" s="2"/>
      <c r="RT5" s="2"/>
      <c r="RV5" s="2"/>
      <c r="RX5" s="2"/>
      <c r="RZ5" s="2"/>
      <c r="SB5" s="2"/>
      <c r="SD5" s="2"/>
      <c r="SF5" s="2"/>
      <c r="SH5" s="2"/>
      <c r="SJ5" s="2"/>
      <c r="SL5" s="2"/>
      <c r="SN5" s="2"/>
      <c r="SP5" s="2"/>
      <c r="SR5" s="2"/>
      <c r="ST5" s="2"/>
      <c r="SV5" s="2"/>
      <c r="SX5" s="2"/>
      <c r="SZ5" s="2"/>
      <c r="TB5" s="2"/>
      <c r="TD5" s="2"/>
      <c r="TF5" s="2"/>
      <c r="TH5" s="2"/>
      <c r="TJ5" s="2"/>
      <c r="TL5" s="2"/>
      <c r="TN5" s="2"/>
      <c r="TP5" s="2"/>
      <c r="TR5" s="2"/>
      <c r="TT5" s="2"/>
      <c r="TV5" s="2"/>
      <c r="TX5" s="2"/>
      <c r="TZ5" s="2"/>
      <c r="UB5" s="2"/>
      <c r="UD5" s="2"/>
      <c r="UF5" s="2"/>
      <c r="UH5" s="2"/>
      <c r="UJ5" s="2"/>
      <c r="UL5" s="2"/>
      <c r="UN5" s="2"/>
      <c r="UP5" s="2"/>
      <c r="UR5" s="2"/>
      <c r="UT5" s="2"/>
      <c r="UV5" s="2"/>
      <c r="UX5" s="2"/>
      <c r="UZ5" s="2"/>
      <c r="VB5" s="2"/>
      <c r="VD5" s="2"/>
      <c r="VF5" s="2"/>
      <c r="VH5" s="2"/>
      <c r="VJ5" s="2"/>
      <c r="VL5" s="2"/>
      <c r="VN5" s="2"/>
      <c r="VP5" s="2"/>
      <c r="VR5" s="2"/>
      <c r="VT5" s="2"/>
      <c r="VV5" s="2"/>
      <c r="VX5" s="2"/>
      <c r="VZ5" s="2"/>
      <c r="WB5" s="2"/>
      <c r="WD5" s="2"/>
      <c r="WF5" s="2"/>
      <c r="WH5" s="2"/>
      <c r="WJ5" s="2"/>
      <c r="WL5" s="2"/>
      <c r="WN5" s="2"/>
      <c r="WP5" s="2"/>
      <c r="WR5" s="2"/>
      <c r="WT5" s="2"/>
      <c r="WV5" s="2"/>
      <c r="WX5" s="2"/>
      <c r="WZ5" s="2"/>
      <c r="XB5" s="2"/>
      <c r="XD5" s="2"/>
      <c r="XF5" s="2"/>
      <c r="XH5" s="2"/>
      <c r="XJ5" s="2"/>
      <c r="XL5" s="2"/>
      <c r="XN5" s="2"/>
      <c r="XP5" s="2"/>
      <c r="XR5" s="2"/>
      <c r="XT5" s="2"/>
      <c r="XV5" s="2"/>
      <c r="XX5" s="2"/>
      <c r="XZ5" s="2"/>
      <c r="YB5" s="2"/>
      <c r="YD5" s="2"/>
      <c r="YF5" s="2"/>
      <c r="YH5" s="2"/>
      <c r="YJ5" s="2"/>
      <c r="YL5" s="2"/>
      <c r="YN5" s="2"/>
      <c r="YP5" s="2"/>
      <c r="YR5" s="2"/>
      <c r="YT5" s="2"/>
      <c r="YV5" s="2"/>
      <c r="YX5" s="2"/>
      <c r="YZ5" s="2"/>
      <c r="ZB5" s="2"/>
      <c r="ZD5" s="2"/>
      <c r="ZF5" s="2"/>
      <c r="ZH5" s="2"/>
      <c r="ZJ5" s="2"/>
      <c r="ZL5" s="2"/>
      <c r="ZN5" s="2"/>
      <c r="ZP5" s="2"/>
      <c r="ZR5" s="2"/>
      <c r="ZT5" s="2"/>
      <c r="ZV5" s="2"/>
      <c r="ZX5" s="2"/>
      <c r="ZZ5" s="2"/>
      <c r="AAB5" s="2"/>
      <c r="AAD5" s="2"/>
      <c r="AAF5" s="2"/>
      <c r="AAH5" s="2"/>
      <c r="AAJ5" s="2"/>
      <c r="AAL5" s="2"/>
      <c r="AAN5" s="2"/>
      <c r="AAP5" s="2"/>
      <c r="AAR5" s="2"/>
      <c r="AAT5" s="2"/>
      <c r="AAV5" s="2"/>
      <c r="AAX5" s="2"/>
      <c r="AAZ5" s="2"/>
      <c r="ABB5" s="2"/>
      <c r="ABD5" s="2"/>
      <c r="ABF5" s="2"/>
      <c r="ABH5" s="2"/>
      <c r="ABJ5" s="2"/>
      <c r="ABL5" s="2"/>
      <c r="ABN5" s="2"/>
      <c r="ABP5" s="2"/>
      <c r="ABR5" s="2"/>
      <c r="ABT5" s="2"/>
      <c r="ABV5" s="2"/>
      <c r="ABX5" s="2"/>
      <c r="ABZ5" s="2"/>
      <c r="ACB5" s="2"/>
      <c r="ACD5" s="2"/>
      <c r="ACF5" s="2"/>
      <c r="ACH5" s="2"/>
      <c r="ACJ5" s="2"/>
      <c r="ACL5" s="2"/>
      <c r="ACN5" s="2"/>
      <c r="ACP5" s="2"/>
      <c r="ACR5" s="2"/>
      <c r="ACT5" s="2"/>
      <c r="ACV5" s="2"/>
      <c r="ACX5" s="2"/>
      <c r="ACZ5" s="2"/>
      <c r="ADB5" s="2"/>
      <c r="ADD5" s="2"/>
      <c r="ADF5" s="2"/>
      <c r="ADH5" s="2"/>
      <c r="ADJ5" s="2"/>
      <c r="ADL5" s="2"/>
      <c r="ADN5" s="2"/>
      <c r="ADP5" s="2"/>
      <c r="ADR5" s="2"/>
      <c r="ADT5" s="2"/>
      <c r="ADV5" s="2"/>
      <c r="ADX5" s="2"/>
      <c r="ADZ5" s="2"/>
      <c r="AEB5" s="2"/>
      <c r="AED5" s="2"/>
      <c r="AEF5" s="2"/>
      <c r="AEH5" s="2"/>
      <c r="AEJ5" s="2"/>
      <c r="AEL5" s="2"/>
      <c r="AEN5" s="2"/>
      <c r="AEP5" s="2"/>
      <c r="AER5" s="2"/>
      <c r="AET5" s="2"/>
      <c r="AEV5" s="2"/>
      <c r="AEX5" s="2"/>
      <c r="AEZ5" s="2"/>
      <c r="AFB5" s="2"/>
      <c r="AFD5" s="2"/>
      <c r="AFF5" s="2"/>
      <c r="AFH5" s="2"/>
      <c r="AFJ5" s="2"/>
      <c r="AFL5" s="2"/>
      <c r="AFN5" s="2"/>
      <c r="AFP5" s="2"/>
      <c r="AFR5" s="2"/>
      <c r="AFT5" s="2"/>
      <c r="AFV5" s="2"/>
      <c r="AFX5" s="2"/>
      <c r="AFZ5" s="2"/>
      <c r="AGB5" s="2"/>
      <c r="AGD5" s="2"/>
      <c r="AGF5" s="2"/>
      <c r="AGH5" s="2"/>
      <c r="AGJ5" s="2"/>
      <c r="AGL5" s="2"/>
      <c r="AGN5" s="2"/>
      <c r="AGP5" s="2"/>
      <c r="AGR5" s="2"/>
      <c r="AGT5" s="2"/>
      <c r="AGV5" s="2"/>
      <c r="AGX5" s="2"/>
      <c r="AGZ5" s="2"/>
      <c r="AHB5" s="2"/>
      <c r="AHD5" s="2"/>
      <c r="AHF5" s="2"/>
      <c r="AHH5" s="2"/>
      <c r="AHJ5" s="2"/>
      <c r="AHL5" s="2"/>
      <c r="AHN5" s="2"/>
      <c r="AHP5" s="2"/>
      <c r="AHR5" s="2"/>
      <c r="AHT5" s="2"/>
      <c r="AHV5" s="2"/>
      <c r="AHX5" s="2"/>
      <c r="AHZ5" s="2"/>
      <c r="AIB5" s="2"/>
      <c r="AID5" s="2"/>
      <c r="AIF5" s="2"/>
      <c r="AIH5" s="2"/>
      <c r="AIJ5" s="2"/>
      <c r="AIL5" s="2"/>
      <c r="AIN5" s="2"/>
      <c r="AIP5" s="2"/>
      <c r="AIR5" s="2"/>
      <c r="AIT5" s="2"/>
      <c r="AIV5" s="2"/>
      <c r="AIX5" s="2"/>
      <c r="AIZ5" s="2"/>
      <c r="AJB5" s="2"/>
      <c r="AJD5" s="2"/>
      <c r="AJF5" s="2"/>
      <c r="AJH5" s="2"/>
      <c r="AJJ5" s="2"/>
      <c r="AJL5" s="2"/>
      <c r="AJN5" s="2"/>
      <c r="AJP5" s="2"/>
      <c r="AJR5" s="2"/>
      <c r="AJT5" s="2"/>
      <c r="AJV5" s="2"/>
      <c r="AJX5" s="2"/>
      <c r="AJZ5" s="2"/>
      <c r="AKB5" s="2"/>
      <c r="AKD5" s="2"/>
      <c r="AKF5" s="2"/>
      <c r="AKH5" s="2"/>
      <c r="AKJ5" s="2"/>
      <c r="AKL5" s="2"/>
      <c r="AKN5" s="2"/>
      <c r="AKP5" s="2"/>
      <c r="AKR5" s="2"/>
      <c r="AKT5" s="2"/>
      <c r="AKV5" s="2"/>
      <c r="AKX5" s="2"/>
      <c r="AKZ5" s="2"/>
      <c r="ALB5" s="2"/>
      <c r="ALD5" s="2"/>
      <c r="ALF5" s="2"/>
      <c r="ALH5" s="2"/>
      <c r="ALJ5" s="2"/>
      <c r="ALL5" s="2"/>
      <c r="ALN5" s="2"/>
      <c r="ALP5" s="2"/>
      <c r="ALR5" s="2"/>
      <c r="ALT5" s="2"/>
      <c r="ALV5" s="2"/>
      <c r="ALX5" s="2"/>
      <c r="ALZ5" s="2"/>
      <c r="AMB5" s="2"/>
      <c r="AMD5" s="2"/>
      <c r="AMF5" s="2"/>
      <c r="AMH5" s="2"/>
      <c r="AMJ5" s="2"/>
      <c r="AML5" s="2"/>
      <c r="AMN5" s="2"/>
      <c r="AMP5" s="2"/>
      <c r="AMR5" s="2"/>
      <c r="AMT5" s="2"/>
      <c r="AMV5" s="2"/>
      <c r="AMX5" s="2"/>
      <c r="AMZ5" s="2"/>
      <c r="ANB5" s="2"/>
      <c r="AND5" s="2"/>
      <c r="ANF5" s="2"/>
      <c r="ANH5" s="2"/>
      <c r="ANJ5" s="2"/>
      <c r="ANL5" s="2"/>
      <c r="ANN5" s="2"/>
      <c r="ANP5" s="2"/>
      <c r="ANR5" s="2"/>
      <c r="ANT5" s="2"/>
      <c r="ANV5" s="2"/>
      <c r="ANX5" s="2"/>
      <c r="ANZ5" s="2"/>
      <c r="AOB5" s="2"/>
      <c r="AOD5" s="2"/>
      <c r="AOF5" s="2"/>
      <c r="AOH5" s="2"/>
      <c r="AOJ5" s="2"/>
      <c r="AOL5" s="2"/>
      <c r="AON5" s="2"/>
      <c r="AOP5" s="2"/>
      <c r="AOR5" s="2"/>
      <c r="AOT5" s="2"/>
      <c r="AOV5" s="2"/>
      <c r="AOX5" s="2"/>
      <c r="AOZ5" s="2"/>
      <c r="APB5" s="2"/>
      <c r="APD5" s="2"/>
      <c r="APF5" s="2"/>
      <c r="APH5" s="2"/>
      <c r="APJ5" s="2"/>
      <c r="APL5" s="2"/>
      <c r="APN5" s="2"/>
      <c r="APP5" s="2"/>
      <c r="APR5" s="2"/>
      <c r="APT5" s="2"/>
      <c r="APV5" s="2"/>
      <c r="APX5" s="2"/>
      <c r="APZ5" s="2"/>
      <c r="AQB5" s="2"/>
      <c r="AQD5" s="2"/>
      <c r="AQF5" s="2"/>
      <c r="AQH5" s="2"/>
      <c r="AQJ5" s="2"/>
      <c r="AQL5" s="2"/>
      <c r="AQN5" s="2"/>
      <c r="AQP5" s="2"/>
      <c r="AQR5" s="2"/>
      <c r="AQT5" s="2"/>
      <c r="AQV5" s="2"/>
      <c r="AQX5" s="2"/>
      <c r="AQZ5" s="2"/>
      <c r="ARB5" s="2"/>
      <c r="ARD5" s="2"/>
      <c r="ARF5" s="2"/>
      <c r="ARH5" s="2"/>
      <c r="ARJ5" s="2"/>
      <c r="ARL5" s="2"/>
      <c r="ARN5" s="2"/>
      <c r="ARP5" s="2"/>
      <c r="ARR5" s="2"/>
      <c r="ART5" s="2"/>
      <c r="ARV5" s="2"/>
      <c r="ARX5" s="2"/>
      <c r="ARZ5" s="2"/>
      <c r="ASB5" s="2"/>
      <c r="ASD5" s="2"/>
      <c r="ASF5" s="2"/>
      <c r="ASH5" s="2"/>
      <c r="ASJ5" s="2"/>
      <c r="ASL5" s="2"/>
      <c r="ASN5" s="2"/>
      <c r="ASP5" s="2"/>
      <c r="ASR5" s="2"/>
      <c r="AST5" s="2"/>
      <c r="ASV5" s="2"/>
      <c r="ASX5" s="2"/>
      <c r="ASZ5" s="2"/>
      <c r="ATB5" s="2"/>
      <c r="ATD5" s="2"/>
      <c r="ATF5" s="2"/>
      <c r="ATH5" s="2"/>
      <c r="ATJ5" s="2"/>
      <c r="ATL5" s="2"/>
      <c r="ATN5" s="2"/>
      <c r="ATP5" s="2"/>
      <c r="ATR5" s="2"/>
      <c r="ATT5" s="2"/>
      <c r="ATV5" s="2"/>
      <c r="ATX5" s="2"/>
      <c r="ATZ5" s="2"/>
      <c r="AUB5" s="2"/>
      <c r="AUD5" s="2"/>
      <c r="AUF5" s="2"/>
      <c r="AUH5" s="2"/>
      <c r="AUJ5" s="2"/>
      <c r="AUL5" s="2"/>
      <c r="AUN5" s="2"/>
      <c r="AUP5" s="2"/>
      <c r="AUR5" s="2"/>
      <c r="AUT5" s="2"/>
      <c r="AUV5" s="2"/>
      <c r="AUX5" s="2"/>
      <c r="AUZ5" s="2"/>
      <c r="AVB5" s="2"/>
      <c r="AVD5" s="2"/>
      <c r="AVF5" s="2"/>
      <c r="AVH5" s="2"/>
      <c r="AVJ5" s="2"/>
      <c r="AVL5" s="2"/>
      <c r="AVN5" s="2"/>
      <c r="AVP5" s="2"/>
      <c r="AVR5" s="2"/>
      <c r="AVT5" s="2"/>
      <c r="AVV5" s="2"/>
      <c r="AVX5" s="2"/>
      <c r="AVZ5" s="2"/>
      <c r="AWB5" s="2"/>
      <c r="AWD5" s="2"/>
      <c r="AWF5" s="2"/>
      <c r="AWH5" s="2"/>
      <c r="AWJ5" s="2"/>
      <c r="AWL5" s="2"/>
      <c r="AWN5" s="2"/>
      <c r="AWP5" s="2"/>
      <c r="AWR5" s="2"/>
      <c r="AWT5" s="2"/>
      <c r="AWV5" s="2"/>
      <c r="AWX5" s="2"/>
      <c r="AWZ5" s="2"/>
      <c r="AXB5" s="2"/>
      <c r="AXD5" s="2"/>
      <c r="AXF5" s="2"/>
      <c r="AXH5" s="2"/>
      <c r="AXJ5" s="2"/>
      <c r="AXL5" s="2"/>
      <c r="AXN5" s="2"/>
      <c r="AXP5" s="2"/>
      <c r="AXR5" s="2"/>
      <c r="AXT5" s="2"/>
      <c r="AXV5" s="2"/>
      <c r="AXX5" s="2"/>
      <c r="AXZ5" s="2"/>
      <c r="AYB5" s="2"/>
      <c r="AYD5" s="2"/>
      <c r="AYF5" s="2"/>
      <c r="AYH5" s="2"/>
      <c r="AYJ5" s="2"/>
      <c r="AYL5" s="2"/>
      <c r="AYN5" s="2"/>
      <c r="AYP5" s="2"/>
      <c r="AYR5" s="2"/>
      <c r="AYT5" s="2"/>
      <c r="AYV5" s="2"/>
      <c r="AYX5" s="2"/>
      <c r="AYZ5" s="2"/>
      <c r="AZB5" s="2"/>
      <c r="AZD5" s="2"/>
      <c r="AZF5" s="2"/>
      <c r="AZH5" s="2"/>
      <c r="AZJ5" s="2"/>
      <c r="AZL5" s="2"/>
      <c r="AZN5" s="2"/>
      <c r="AZP5" s="2"/>
      <c r="AZR5" s="2"/>
      <c r="AZT5" s="2"/>
      <c r="AZV5" s="2"/>
      <c r="AZX5" s="2"/>
      <c r="AZZ5" s="2"/>
      <c r="BAB5" s="2"/>
      <c r="BAD5" s="2"/>
      <c r="BAF5" s="2"/>
      <c r="BAH5" s="2"/>
      <c r="BAJ5" s="2"/>
      <c r="BAL5" s="2"/>
      <c r="BAN5" s="2"/>
      <c r="BAP5" s="2"/>
      <c r="BAR5" s="2"/>
      <c r="BAT5" s="2"/>
      <c r="BAV5" s="2"/>
      <c r="BAX5" s="2"/>
      <c r="BAZ5" s="2"/>
      <c r="BBB5" s="2"/>
      <c r="BBD5" s="2"/>
      <c r="BBF5" s="2"/>
      <c r="BBH5" s="2"/>
      <c r="BBJ5" s="2"/>
      <c r="BBL5" s="2"/>
      <c r="BBN5" s="2"/>
      <c r="BBP5" s="2"/>
      <c r="BBR5" s="2"/>
      <c r="BBT5" s="2"/>
      <c r="BBV5" s="2"/>
      <c r="BBX5" s="2"/>
      <c r="BBZ5" s="2"/>
      <c r="BCB5" s="2"/>
      <c r="BCD5" s="2"/>
      <c r="BCF5" s="2"/>
      <c r="BCH5" s="2"/>
      <c r="BCJ5" s="2"/>
      <c r="BCL5" s="2"/>
      <c r="BCN5" s="2"/>
      <c r="BCP5" s="2"/>
      <c r="BCR5" s="2"/>
      <c r="BCT5" s="2"/>
      <c r="BCV5" s="2"/>
      <c r="BCX5" s="2"/>
      <c r="BCZ5" s="2"/>
      <c r="BDB5" s="2"/>
      <c r="BDD5" s="2"/>
      <c r="BDF5" s="2"/>
      <c r="BDH5" s="2"/>
      <c r="BDJ5" s="2"/>
      <c r="BDL5" s="2"/>
      <c r="BDN5" s="2"/>
      <c r="BDP5" s="2"/>
      <c r="BDR5" s="2"/>
      <c r="BDT5" s="2"/>
      <c r="BDV5" s="2"/>
      <c r="BDX5" s="2"/>
      <c r="BDZ5" s="2"/>
      <c r="BEB5" s="2"/>
      <c r="BED5" s="2"/>
      <c r="BEF5" s="2"/>
      <c r="BEH5" s="2"/>
      <c r="BEJ5" s="2"/>
      <c r="BEL5" s="2"/>
      <c r="BEN5" s="2"/>
      <c r="BEP5" s="2"/>
      <c r="BER5" s="2"/>
      <c r="BET5" s="2"/>
      <c r="BEV5" s="2"/>
      <c r="BEX5" s="2"/>
      <c r="BEZ5" s="2"/>
      <c r="BFB5" s="2"/>
      <c r="BFD5" s="2"/>
      <c r="BFF5" s="2"/>
      <c r="BFH5" s="2"/>
      <c r="BFJ5" s="2"/>
      <c r="BFL5" s="2"/>
      <c r="BFN5" s="2"/>
      <c r="BFP5" s="2"/>
      <c r="BFR5" s="2"/>
      <c r="BFT5" s="2"/>
      <c r="BFV5" s="2"/>
      <c r="BFX5" s="2"/>
      <c r="BFZ5" s="2"/>
      <c r="BGB5" s="2"/>
      <c r="BGD5" s="2"/>
      <c r="BGF5" s="2"/>
      <c r="BGH5" s="2"/>
      <c r="BGJ5" s="2"/>
      <c r="BGL5" s="2"/>
      <c r="BGN5" s="2"/>
      <c r="BGP5" s="2"/>
      <c r="BGR5" s="2"/>
      <c r="BGT5" s="2"/>
      <c r="BGV5" s="2"/>
      <c r="BGX5" s="2"/>
      <c r="BGZ5" s="2"/>
      <c r="BHB5" s="2"/>
      <c r="BHD5" s="2"/>
      <c r="BHF5" s="2"/>
      <c r="BHH5" s="2"/>
      <c r="BHJ5" s="2"/>
      <c r="BHL5" s="2"/>
      <c r="BHN5" s="2"/>
      <c r="BHP5" s="2"/>
      <c r="BHR5" s="2"/>
      <c r="BHT5" s="2"/>
      <c r="BHV5" s="2"/>
      <c r="BHX5" s="2"/>
      <c r="BHZ5" s="2"/>
      <c r="BIB5" s="2"/>
      <c r="BID5" s="2"/>
      <c r="BIF5" s="2"/>
      <c r="BIH5" s="2"/>
      <c r="BIJ5" s="2"/>
      <c r="BIL5" s="2"/>
      <c r="BIN5" s="2"/>
      <c r="BIP5" s="2"/>
      <c r="BIR5" s="2"/>
      <c r="BIT5" s="2"/>
      <c r="BIV5" s="2"/>
      <c r="BIX5" s="2"/>
      <c r="BIZ5" s="2"/>
      <c r="BJB5" s="2"/>
      <c r="BJD5" s="2"/>
      <c r="BJF5" s="2"/>
      <c r="BJH5" s="2"/>
      <c r="BJJ5" s="2"/>
      <c r="BJL5" s="2"/>
      <c r="BJN5" s="2"/>
      <c r="BJP5" s="2"/>
      <c r="BJR5" s="2"/>
      <c r="BJT5" s="2"/>
      <c r="BJV5" s="2"/>
      <c r="BJX5" s="2"/>
      <c r="BJZ5" s="2"/>
      <c r="BKB5" s="2"/>
      <c r="BKD5" s="2"/>
      <c r="BKF5" s="2"/>
      <c r="BKH5" s="2"/>
      <c r="BKJ5" s="2"/>
      <c r="BKL5" s="2"/>
      <c r="BKN5" s="2"/>
      <c r="BKP5" s="2"/>
      <c r="BKR5" s="2"/>
      <c r="BKT5" s="2"/>
      <c r="BKV5" s="2"/>
      <c r="BKX5" s="2"/>
      <c r="BKZ5" s="2"/>
      <c r="BLB5" s="2"/>
      <c r="BLD5" s="2"/>
      <c r="BLF5" s="2"/>
      <c r="BLH5" s="2"/>
      <c r="BLJ5" s="2"/>
      <c r="BLL5" s="2"/>
      <c r="BLN5" s="2"/>
      <c r="BLP5" s="2"/>
      <c r="BLR5" s="2"/>
      <c r="BLT5" s="2"/>
      <c r="BLV5" s="2"/>
      <c r="BLX5" s="2"/>
      <c r="BLZ5" s="2"/>
      <c r="BMB5" s="2"/>
      <c r="BMD5" s="2"/>
      <c r="BMF5" s="2"/>
      <c r="BMH5" s="2"/>
      <c r="BMJ5" s="2"/>
      <c r="BML5" s="2"/>
      <c r="BMN5" s="2"/>
      <c r="BMP5" s="2"/>
      <c r="BMR5" s="2"/>
      <c r="BMT5" s="2"/>
      <c r="BMV5" s="2"/>
      <c r="BMX5" s="2"/>
      <c r="BMZ5" s="2"/>
      <c r="BNB5" s="2"/>
      <c r="BND5" s="2"/>
      <c r="BNF5" s="2"/>
      <c r="BNH5" s="2"/>
      <c r="BNJ5" s="2"/>
      <c r="BNL5" s="2"/>
      <c r="BNN5" s="2"/>
      <c r="BNP5" s="2"/>
      <c r="BNR5" s="2"/>
      <c r="BNT5" s="2"/>
      <c r="BNV5" s="2"/>
      <c r="BNX5" s="2"/>
      <c r="BNZ5" s="2"/>
      <c r="BOB5" s="2"/>
      <c r="BOD5" s="2"/>
      <c r="BOF5" s="2"/>
      <c r="BOH5" s="2"/>
      <c r="BOJ5" s="2"/>
      <c r="BOL5" s="2"/>
      <c r="BON5" s="2"/>
      <c r="BOP5" s="2"/>
      <c r="BOR5" s="2"/>
      <c r="BOT5" s="2"/>
      <c r="BOV5" s="2"/>
      <c r="BOX5" s="2"/>
      <c r="BOZ5" s="2"/>
      <c r="BPB5" s="2"/>
      <c r="BPD5" s="2"/>
      <c r="BPF5" s="2"/>
      <c r="BPH5" s="2"/>
      <c r="BPJ5" s="2"/>
      <c r="BPL5" s="2"/>
      <c r="BPN5" s="2"/>
      <c r="BPP5" s="2"/>
      <c r="BPR5" s="2"/>
      <c r="BPT5" s="2"/>
      <c r="BPV5" s="2"/>
      <c r="BPX5" s="2"/>
      <c r="BPZ5" s="2"/>
      <c r="BQB5" s="2"/>
      <c r="BQD5" s="2"/>
      <c r="BQF5" s="2"/>
      <c r="BQH5" s="2"/>
      <c r="BQJ5" s="2"/>
      <c r="BQL5" s="2"/>
      <c r="BQN5" s="2"/>
      <c r="BQP5" s="2"/>
      <c r="BQR5" s="2"/>
      <c r="BQT5" s="2"/>
      <c r="BQV5" s="2"/>
      <c r="BQX5" s="2"/>
      <c r="BQZ5" s="2"/>
      <c r="BRB5" s="2"/>
      <c r="BRD5" s="2"/>
      <c r="BRF5" s="2"/>
      <c r="BRH5" s="2"/>
      <c r="BRJ5" s="2"/>
      <c r="BRL5" s="2"/>
      <c r="BRN5" s="2"/>
      <c r="BRP5" s="2"/>
      <c r="BRR5" s="2"/>
      <c r="BRT5" s="2"/>
      <c r="BRV5" s="2"/>
      <c r="BRX5" s="2"/>
      <c r="BRZ5" s="2"/>
      <c r="BSB5" s="2"/>
      <c r="BSD5" s="2"/>
      <c r="BSF5" s="2"/>
      <c r="BSH5" s="2"/>
      <c r="BSJ5" s="2"/>
      <c r="BSL5" s="2"/>
      <c r="BSN5" s="2"/>
      <c r="BSP5" s="2"/>
      <c r="BSR5" s="2"/>
      <c r="BST5" s="2"/>
      <c r="BSV5" s="2"/>
      <c r="BSX5" s="2"/>
      <c r="BSZ5" s="2"/>
      <c r="BTB5" s="2"/>
      <c r="BTD5" s="2"/>
      <c r="BTF5" s="2"/>
      <c r="BTH5" s="2"/>
      <c r="BTJ5" s="2"/>
      <c r="BTL5" s="2"/>
      <c r="BTN5" s="2"/>
      <c r="BTP5" s="2"/>
      <c r="BTR5" s="2"/>
      <c r="BTT5" s="2"/>
      <c r="BTV5" s="2"/>
      <c r="BTX5" s="2"/>
      <c r="BTZ5" s="2"/>
      <c r="BUB5" s="2"/>
      <c r="BUD5" s="2"/>
      <c r="BUF5" s="2"/>
      <c r="BUH5" s="2"/>
      <c r="BUJ5" s="2"/>
      <c r="BUL5" s="2"/>
      <c r="BUN5" s="2"/>
      <c r="BUP5" s="2"/>
      <c r="BUR5" s="2"/>
      <c r="BUT5" s="2"/>
      <c r="BUV5" s="2"/>
      <c r="BUX5" s="2"/>
      <c r="BUZ5" s="2"/>
      <c r="BVB5" s="2"/>
      <c r="BVD5" s="2"/>
      <c r="BVF5" s="2"/>
      <c r="BVH5" s="2"/>
      <c r="BVJ5" s="2"/>
      <c r="BVL5" s="2"/>
      <c r="BVN5" s="2"/>
      <c r="BVP5" s="2"/>
      <c r="BVR5" s="2"/>
      <c r="BVT5" s="2"/>
      <c r="BVV5" s="2"/>
      <c r="BVX5" s="2"/>
      <c r="BVZ5" s="2"/>
      <c r="BWB5" s="2"/>
      <c r="BWD5" s="2"/>
      <c r="BWF5" s="2"/>
      <c r="BWH5" s="2"/>
      <c r="BWJ5" s="2"/>
      <c r="BWL5" s="2"/>
      <c r="BWN5" s="2"/>
      <c r="BWP5" s="2"/>
      <c r="BWR5" s="2"/>
      <c r="BWT5" s="2"/>
      <c r="BWV5" s="2"/>
      <c r="BWX5" s="2"/>
      <c r="BWZ5" s="2"/>
      <c r="BXB5" s="2"/>
      <c r="BXD5" s="2"/>
      <c r="BXF5" s="2"/>
      <c r="BXH5" s="2"/>
      <c r="BXJ5" s="2"/>
      <c r="BXL5" s="2"/>
      <c r="BXN5" s="2"/>
      <c r="BXP5" s="2"/>
      <c r="BXR5" s="2"/>
      <c r="BXT5" s="2"/>
      <c r="BXV5" s="2"/>
      <c r="BXX5" s="2"/>
      <c r="BXZ5" s="2"/>
      <c r="BYB5" s="2"/>
      <c r="BYD5" s="2"/>
      <c r="BYF5" s="2"/>
      <c r="BYH5" s="2"/>
      <c r="BYJ5" s="2"/>
      <c r="BYL5" s="2"/>
      <c r="BYN5" s="2"/>
      <c r="BYP5" s="2"/>
      <c r="BYR5" s="2"/>
      <c r="BYT5" s="2"/>
      <c r="BYV5" s="2"/>
      <c r="BYX5" s="2"/>
      <c r="BYZ5" s="2"/>
      <c r="BZB5" s="2"/>
      <c r="BZD5" s="2"/>
      <c r="BZF5" s="2"/>
      <c r="BZH5" s="2"/>
      <c r="BZJ5" s="2"/>
      <c r="BZL5" s="2"/>
      <c r="BZN5" s="2"/>
      <c r="BZP5" s="2"/>
      <c r="BZR5" s="2"/>
      <c r="BZT5" s="2"/>
      <c r="BZV5" s="2"/>
      <c r="BZX5" s="2"/>
      <c r="BZZ5" s="2"/>
      <c r="CAB5" s="2"/>
      <c r="CAD5" s="2"/>
      <c r="CAF5" s="2"/>
      <c r="CAH5" s="2"/>
      <c r="CAJ5" s="2"/>
      <c r="CAL5" s="2"/>
      <c r="CAN5" s="2"/>
      <c r="CAP5" s="2"/>
      <c r="CAR5" s="2"/>
      <c r="CAT5" s="2"/>
      <c r="CAV5" s="2"/>
      <c r="CAX5" s="2"/>
      <c r="CAZ5" s="2"/>
      <c r="CBB5" s="2"/>
      <c r="CBD5" s="2"/>
      <c r="CBF5" s="2"/>
      <c r="CBH5" s="2"/>
      <c r="CBJ5" s="2"/>
      <c r="CBL5" s="2"/>
      <c r="CBN5" s="2"/>
      <c r="CBP5" s="2"/>
      <c r="CBR5" s="2"/>
      <c r="CBT5" s="2"/>
      <c r="CBV5" s="2"/>
      <c r="CBX5" s="2"/>
      <c r="CBZ5" s="2"/>
      <c r="CCB5" s="2"/>
      <c r="CCD5" s="2"/>
      <c r="CCF5" s="2"/>
      <c r="CCH5" s="2"/>
      <c r="CCJ5" s="2"/>
      <c r="CCL5" s="2"/>
      <c r="CCN5" s="2"/>
      <c r="CCP5" s="2"/>
      <c r="CCR5" s="2"/>
      <c r="CCT5" s="2"/>
      <c r="CCV5" s="2"/>
      <c r="CCX5" s="2"/>
      <c r="CCZ5" s="2"/>
      <c r="CDB5" s="2"/>
      <c r="CDD5" s="2"/>
      <c r="CDF5" s="2"/>
      <c r="CDH5" s="2"/>
      <c r="CDJ5" s="2"/>
      <c r="CDL5" s="2"/>
      <c r="CDN5" s="2"/>
      <c r="CDP5" s="2"/>
      <c r="CDR5" s="2"/>
      <c r="CDT5" s="2"/>
      <c r="CDV5" s="2"/>
      <c r="CDX5" s="2"/>
      <c r="CDZ5" s="2"/>
      <c r="CEB5" s="2"/>
      <c r="CED5" s="2"/>
      <c r="CEF5" s="2"/>
      <c r="CEH5" s="2"/>
      <c r="CEJ5" s="2"/>
      <c r="CEL5" s="2"/>
      <c r="CEN5" s="2"/>
      <c r="CEP5" s="2"/>
      <c r="CER5" s="2"/>
      <c r="CET5" s="2"/>
      <c r="CEV5" s="2"/>
      <c r="CEX5" s="2"/>
      <c r="CEZ5" s="2"/>
      <c r="CFB5" s="2"/>
      <c r="CFD5" s="2"/>
      <c r="CFF5" s="2"/>
      <c r="CFH5" s="2"/>
      <c r="CFJ5" s="2"/>
      <c r="CFL5" s="2"/>
      <c r="CFN5" s="2"/>
      <c r="CFP5" s="2"/>
      <c r="CFR5" s="2"/>
      <c r="CFT5" s="2"/>
      <c r="CFV5" s="2"/>
      <c r="CFX5" s="2"/>
      <c r="CFZ5" s="2"/>
      <c r="CGB5" s="2"/>
      <c r="CGD5" s="2"/>
      <c r="CGF5" s="2"/>
      <c r="CGH5" s="2"/>
      <c r="CGJ5" s="2"/>
      <c r="CGL5" s="2"/>
      <c r="CGN5" s="2"/>
      <c r="CGP5" s="2"/>
      <c r="CGR5" s="2"/>
      <c r="CGT5" s="2"/>
      <c r="CGV5" s="2"/>
      <c r="CGX5" s="2"/>
      <c r="CGZ5" s="2"/>
      <c r="CHB5" s="2"/>
      <c r="CHD5" s="2"/>
      <c r="CHF5" s="2"/>
      <c r="CHH5" s="2"/>
      <c r="CHJ5" s="2"/>
      <c r="CHL5" s="2"/>
      <c r="CHN5" s="2"/>
      <c r="CHP5" s="2"/>
      <c r="CHR5" s="2"/>
      <c r="CHT5" s="2"/>
      <c r="CHV5" s="2"/>
      <c r="CHX5" s="2"/>
      <c r="CHZ5" s="2"/>
      <c r="CIB5" s="2"/>
      <c r="CID5" s="2"/>
      <c r="CIF5" s="2"/>
      <c r="CIH5" s="2"/>
      <c r="CIJ5" s="2"/>
      <c r="CIL5" s="2"/>
      <c r="CIN5" s="2"/>
      <c r="CIP5" s="2"/>
      <c r="CIR5" s="2"/>
      <c r="CIT5" s="2"/>
      <c r="CIV5" s="2"/>
      <c r="CIX5" s="2"/>
      <c r="CIZ5" s="2"/>
      <c r="CJB5" s="2"/>
      <c r="CJD5" s="2"/>
      <c r="CJF5" s="2"/>
      <c r="CJH5" s="2"/>
      <c r="CJJ5" s="2"/>
      <c r="CJL5" s="2"/>
      <c r="CJN5" s="2"/>
      <c r="CJP5" s="2"/>
      <c r="CJR5" s="2"/>
      <c r="CJT5" s="2"/>
      <c r="CJV5" s="2"/>
      <c r="CJX5" s="2"/>
      <c r="CJZ5" s="2"/>
      <c r="CKB5" s="2"/>
      <c r="CKD5" s="2"/>
      <c r="CKF5" s="2"/>
      <c r="CKH5" s="2"/>
      <c r="CKJ5" s="2"/>
      <c r="CKL5" s="2"/>
      <c r="CKN5" s="2"/>
      <c r="CKP5" s="2"/>
      <c r="CKR5" s="2"/>
      <c r="CKT5" s="2"/>
      <c r="CKV5" s="2"/>
      <c r="CKX5" s="2"/>
      <c r="CKZ5" s="2"/>
      <c r="CLB5" s="2"/>
      <c r="CLD5" s="2"/>
      <c r="CLF5" s="2"/>
      <c r="CLH5" s="2"/>
      <c r="CLJ5" s="2"/>
      <c r="CLL5" s="2"/>
      <c r="CLN5" s="2"/>
      <c r="CLP5" s="2"/>
      <c r="CLR5" s="2"/>
      <c r="CLT5" s="2"/>
      <c r="CLV5" s="2"/>
      <c r="CLX5" s="2"/>
      <c r="CLZ5" s="2"/>
      <c r="CMB5" s="2"/>
      <c r="CMD5" s="2"/>
      <c r="CMF5" s="2"/>
      <c r="CMH5" s="2"/>
      <c r="CMJ5" s="2"/>
      <c r="CML5" s="2"/>
      <c r="CMN5" s="2"/>
      <c r="CMP5" s="2"/>
      <c r="CMR5" s="2"/>
      <c r="CMT5" s="2"/>
      <c r="CMV5" s="2"/>
      <c r="CMX5" s="2"/>
      <c r="CMZ5" s="2"/>
      <c r="CNB5" s="2"/>
      <c r="CND5" s="2"/>
      <c r="CNF5" s="2"/>
      <c r="CNH5" s="2"/>
      <c r="CNJ5" s="2"/>
      <c r="CNL5" s="2"/>
      <c r="CNN5" s="2"/>
      <c r="CNP5" s="2"/>
      <c r="CNR5" s="2"/>
      <c r="CNT5" s="2"/>
      <c r="CNV5" s="2"/>
      <c r="CNX5" s="2"/>
      <c r="CNZ5" s="2"/>
      <c r="COB5" s="2"/>
      <c r="COD5" s="2"/>
      <c r="COF5" s="2"/>
      <c r="COH5" s="2"/>
      <c r="COJ5" s="2"/>
      <c r="COL5" s="2"/>
      <c r="CON5" s="2"/>
      <c r="COP5" s="2"/>
      <c r="COR5" s="2"/>
      <c r="COT5" s="2"/>
      <c r="COV5" s="2"/>
      <c r="COX5" s="2"/>
      <c r="COZ5" s="2"/>
      <c r="CPB5" s="2"/>
      <c r="CPD5" s="2"/>
      <c r="CPF5" s="2"/>
      <c r="CPH5" s="2"/>
      <c r="CPJ5" s="2"/>
      <c r="CPL5" s="2"/>
      <c r="CPN5" s="2"/>
      <c r="CPP5" s="2"/>
      <c r="CPR5" s="2"/>
      <c r="CPT5" s="2"/>
      <c r="CPV5" s="2"/>
      <c r="CPX5" s="2"/>
      <c r="CPZ5" s="2"/>
      <c r="CQB5" s="2"/>
      <c r="CQD5" s="2"/>
      <c r="CQF5" s="2"/>
      <c r="CQH5" s="2"/>
      <c r="CQJ5" s="2"/>
      <c r="CQL5" s="2"/>
      <c r="CQN5" s="2"/>
      <c r="CQP5" s="2"/>
      <c r="CQR5" s="2"/>
      <c r="CQT5" s="2"/>
      <c r="CQV5" s="2"/>
      <c r="CQX5" s="2"/>
      <c r="CQZ5" s="2"/>
      <c r="CRB5" s="2"/>
      <c r="CRD5" s="2"/>
      <c r="CRF5" s="2"/>
      <c r="CRH5" s="2"/>
      <c r="CRJ5" s="2"/>
      <c r="CRL5" s="2"/>
      <c r="CRN5" s="2"/>
      <c r="CRP5" s="2"/>
      <c r="CRR5" s="2"/>
      <c r="CRT5" s="2"/>
      <c r="CRV5" s="2"/>
      <c r="CRX5" s="2"/>
      <c r="CRZ5" s="2"/>
      <c r="CSB5" s="2"/>
      <c r="CSD5" s="2"/>
      <c r="CSF5" s="2"/>
      <c r="CSH5" s="2"/>
      <c r="CSJ5" s="2"/>
      <c r="CSL5" s="2"/>
      <c r="CSN5" s="2"/>
      <c r="CSP5" s="2"/>
      <c r="CSR5" s="2"/>
      <c r="CST5" s="2"/>
      <c r="CSV5" s="2"/>
      <c r="CSX5" s="2"/>
      <c r="CSZ5" s="2"/>
      <c r="CTB5" s="2"/>
      <c r="CTD5" s="2"/>
      <c r="CTF5" s="2"/>
      <c r="CTH5" s="2"/>
      <c r="CTJ5" s="2"/>
      <c r="CTL5" s="2"/>
      <c r="CTN5" s="2"/>
      <c r="CTP5" s="2"/>
      <c r="CTR5" s="2"/>
      <c r="CTT5" s="2"/>
      <c r="CTV5" s="2"/>
      <c r="CTX5" s="2"/>
      <c r="CTZ5" s="2"/>
      <c r="CUB5" s="2"/>
      <c r="CUD5" s="2"/>
      <c r="CUF5" s="2"/>
      <c r="CUH5" s="2"/>
      <c r="CUJ5" s="2"/>
      <c r="CUL5" s="2"/>
      <c r="CUN5" s="2"/>
      <c r="CUP5" s="2"/>
      <c r="CUR5" s="2"/>
      <c r="CUT5" s="2"/>
      <c r="CUV5" s="2"/>
      <c r="CUX5" s="2"/>
      <c r="CUZ5" s="2"/>
      <c r="CVB5" s="2"/>
      <c r="CVD5" s="2"/>
      <c r="CVF5" s="2"/>
      <c r="CVH5" s="2"/>
      <c r="CVJ5" s="2"/>
      <c r="CVL5" s="2"/>
      <c r="CVN5" s="2"/>
      <c r="CVP5" s="2"/>
      <c r="CVR5" s="2"/>
      <c r="CVT5" s="2"/>
      <c r="CVV5" s="2"/>
      <c r="CVX5" s="2"/>
      <c r="CVZ5" s="2"/>
      <c r="CWB5" s="2"/>
      <c r="CWD5" s="2"/>
      <c r="CWF5" s="2"/>
      <c r="CWH5" s="2"/>
      <c r="CWJ5" s="2"/>
      <c r="CWL5" s="2"/>
      <c r="CWN5" s="2"/>
      <c r="CWP5" s="2"/>
      <c r="CWR5" s="2"/>
      <c r="CWT5" s="2"/>
      <c r="CWV5" s="2"/>
      <c r="CWX5" s="2"/>
      <c r="CWZ5" s="2"/>
      <c r="CXB5" s="2"/>
      <c r="CXD5" s="2"/>
      <c r="CXF5" s="2"/>
      <c r="CXH5" s="2"/>
      <c r="CXJ5" s="2"/>
      <c r="CXL5" s="2"/>
      <c r="CXN5" s="2"/>
      <c r="CXP5" s="2"/>
      <c r="CXR5" s="2"/>
      <c r="CXT5" s="2"/>
      <c r="CXV5" s="2"/>
      <c r="CXX5" s="2"/>
      <c r="CXZ5" s="2"/>
      <c r="CYB5" s="2"/>
      <c r="CYD5" s="2"/>
      <c r="CYF5" s="2"/>
      <c r="CYH5" s="2"/>
      <c r="CYJ5" s="2"/>
      <c r="CYL5" s="2"/>
      <c r="CYN5" s="2"/>
      <c r="CYP5" s="2"/>
      <c r="CYR5" s="2"/>
      <c r="CYT5" s="2"/>
      <c r="CYV5" s="2"/>
      <c r="CYX5" s="2"/>
      <c r="CYZ5" s="2"/>
      <c r="CZB5" s="2"/>
      <c r="CZD5" s="2"/>
      <c r="CZF5" s="2"/>
      <c r="CZH5" s="2"/>
      <c r="CZJ5" s="2"/>
      <c r="CZL5" s="2"/>
      <c r="CZN5" s="2"/>
      <c r="CZP5" s="2"/>
      <c r="CZR5" s="2"/>
      <c r="CZT5" s="2"/>
      <c r="CZV5" s="2"/>
      <c r="CZX5" s="2"/>
      <c r="CZZ5" s="2"/>
      <c r="DAB5" s="2"/>
      <c r="DAD5" s="2"/>
      <c r="DAF5" s="2"/>
      <c r="DAH5" s="2"/>
      <c r="DAJ5" s="2"/>
      <c r="DAL5" s="2"/>
      <c r="DAN5" s="2"/>
      <c r="DAP5" s="2"/>
      <c r="DAR5" s="2"/>
      <c r="DAT5" s="2"/>
      <c r="DAV5" s="2"/>
      <c r="DAX5" s="2"/>
      <c r="DAZ5" s="2"/>
      <c r="DBB5" s="2"/>
      <c r="DBD5" s="2"/>
      <c r="DBF5" s="2"/>
      <c r="DBH5" s="2"/>
      <c r="DBJ5" s="2"/>
      <c r="DBL5" s="2"/>
      <c r="DBN5" s="2"/>
      <c r="DBP5" s="2"/>
      <c r="DBR5" s="2"/>
      <c r="DBT5" s="2"/>
      <c r="DBV5" s="2"/>
      <c r="DBX5" s="2"/>
      <c r="DBZ5" s="2"/>
      <c r="DCB5" s="2"/>
      <c r="DCD5" s="2"/>
      <c r="DCF5" s="2"/>
      <c r="DCH5" s="2"/>
      <c r="DCJ5" s="2"/>
      <c r="DCL5" s="2"/>
      <c r="DCN5" s="2"/>
      <c r="DCP5" s="2"/>
      <c r="DCR5" s="2"/>
      <c r="DCT5" s="2"/>
      <c r="DCV5" s="2"/>
      <c r="DCX5" s="2"/>
      <c r="DCZ5" s="2"/>
      <c r="DDB5" s="2"/>
      <c r="DDD5" s="2"/>
      <c r="DDF5" s="2"/>
      <c r="DDH5" s="2"/>
      <c r="DDJ5" s="2"/>
      <c r="DDL5" s="2"/>
      <c r="DDN5" s="2"/>
      <c r="DDP5" s="2"/>
      <c r="DDR5" s="2"/>
      <c r="DDT5" s="2"/>
      <c r="DDV5" s="2"/>
      <c r="DDX5" s="2"/>
      <c r="DDZ5" s="2"/>
      <c r="DEB5" s="2"/>
      <c r="DED5" s="2"/>
      <c r="DEF5" s="2"/>
      <c r="DEH5" s="2"/>
      <c r="DEJ5" s="2"/>
      <c r="DEL5" s="2"/>
      <c r="DEN5" s="2"/>
      <c r="DEP5" s="2"/>
      <c r="DER5" s="2"/>
      <c r="DET5" s="2"/>
      <c r="DEV5" s="2"/>
      <c r="DEX5" s="2"/>
      <c r="DEZ5" s="2"/>
      <c r="DFB5" s="2"/>
      <c r="DFD5" s="2"/>
      <c r="DFF5" s="2"/>
      <c r="DFH5" s="2"/>
      <c r="DFJ5" s="2"/>
      <c r="DFL5" s="2"/>
      <c r="DFN5" s="2"/>
      <c r="DFP5" s="2"/>
      <c r="DFR5" s="2"/>
      <c r="DFT5" s="2"/>
      <c r="DFV5" s="2"/>
      <c r="DFX5" s="2"/>
      <c r="DFZ5" s="2"/>
      <c r="DGB5" s="2"/>
      <c r="DGD5" s="2"/>
      <c r="DGF5" s="2"/>
      <c r="DGH5" s="2"/>
      <c r="DGJ5" s="2"/>
      <c r="DGL5" s="2"/>
      <c r="DGN5" s="2"/>
      <c r="DGP5" s="2"/>
      <c r="DGR5" s="2"/>
      <c r="DGT5" s="2"/>
      <c r="DGV5" s="2"/>
      <c r="DGX5" s="2"/>
      <c r="DGZ5" s="2"/>
      <c r="DHB5" s="2"/>
      <c r="DHD5" s="2"/>
      <c r="DHF5" s="2"/>
      <c r="DHH5" s="2"/>
      <c r="DHJ5" s="2"/>
      <c r="DHL5" s="2"/>
      <c r="DHN5" s="2"/>
      <c r="DHP5" s="2"/>
      <c r="DHR5" s="2"/>
      <c r="DHT5" s="2"/>
      <c r="DHV5" s="2"/>
      <c r="DHX5" s="2"/>
      <c r="DHZ5" s="2"/>
      <c r="DIB5" s="2"/>
      <c r="DID5" s="2"/>
      <c r="DIF5" s="2"/>
      <c r="DIH5" s="2"/>
      <c r="DIJ5" s="2"/>
      <c r="DIL5" s="2"/>
      <c r="DIN5" s="2"/>
      <c r="DIP5" s="2"/>
      <c r="DIR5" s="2"/>
      <c r="DIT5" s="2"/>
      <c r="DIV5" s="2"/>
      <c r="DIX5" s="2"/>
      <c r="DIZ5" s="2"/>
      <c r="DJB5" s="2"/>
      <c r="DJD5" s="2"/>
      <c r="DJF5" s="2"/>
      <c r="DJH5" s="2"/>
      <c r="DJJ5" s="2"/>
      <c r="DJL5" s="2"/>
      <c r="DJN5" s="2"/>
      <c r="DJP5" s="2"/>
      <c r="DJR5" s="2"/>
      <c r="DJT5" s="2"/>
      <c r="DJV5" s="2"/>
      <c r="DJX5" s="2"/>
      <c r="DJZ5" s="2"/>
      <c r="DKB5" s="2"/>
      <c r="DKD5" s="2"/>
      <c r="DKF5" s="2"/>
      <c r="DKH5" s="2"/>
      <c r="DKJ5" s="2"/>
      <c r="DKL5" s="2"/>
      <c r="DKN5" s="2"/>
      <c r="DKP5" s="2"/>
      <c r="DKR5" s="2"/>
      <c r="DKT5" s="2"/>
      <c r="DKV5" s="2"/>
      <c r="DKX5" s="2"/>
      <c r="DKZ5" s="2"/>
      <c r="DLB5" s="2"/>
      <c r="DLD5" s="2"/>
      <c r="DLF5" s="2"/>
      <c r="DLH5" s="2"/>
      <c r="DLJ5" s="2"/>
      <c r="DLL5" s="2"/>
      <c r="DLN5" s="2"/>
      <c r="DLP5" s="2"/>
      <c r="DLR5" s="2"/>
      <c r="DLT5" s="2"/>
      <c r="DLV5" s="2"/>
      <c r="DLX5" s="2"/>
      <c r="DLZ5" s="2"/>
      <c r="DMB5" s="2"/>
      <c r="DMD5" s="2"/>
      <c r="DMF5" s="2"/>
      <c r="DMH5" s="2"/>
      <c r="DMJ5" s="2"/>
      <c r="DML5" s="2"/>
      <c r="DMN5" s="2"/>
      <c r="DMP5" s="2"/>
      <c r="DMR5" s="2"/>
      <c r="DMT5" s="2"/>
      <c r="DMV5" s="2"/>
      <c r="DMX5" s="2"/>
      <c r="DMZ5" s="2"/>
      <c r="DNB5" s="2"/>
      <c r="DND5" s="2"/>
      <c r="DNF5" s="2"/>
      <c r="DNH5" s="2"/>
      <c r="DNJ5" s="2"/>
      <c r="DNL5" s="2"/>
      <c r="DNN5" s="2"/>
      <c r="DNP5" s="2"/>
      <c r="DNR5" s="2"/>
      <c r="DNT5" s="2"/>
      <c r="DNV5" s="2"/>
      <c r="DNX5" s="2"/>
      <c r="DNZ5" s="2"/>
      <c r="DOB5" s="2"/>
      <c r="DOD5" s="2"/>
      <c r="DOF5" s="2"/>
      <c r="DOH5" s="2"/>
      <c r="DOJ5" s="2"/>
      <c r="DOL5" s="2"/>
      <c r="DON5" s="2"/>
      <c r="DOP5" s="2"/>
      <c r="DOR5" s="2"/>
      <c r="DOT5" s="2"/>
      <c r="DOV5" s="2"/>
      <c r="DOX5" s="2"/>
      <c r="DOZ5" s="2"/>
      <c r="DPB5" s="2"/>
      <c r="DPD5" s="2"/>
      <c r="DPF5" s="2"/>
      <c r="DPH5" s="2"/>
      <c r="DPJ5" s="2"/>
      <c r="DPL5" s="2"/>
      <c r="DPN5" s="2"/>
      <c r="DPP5" s="2"/>
      <c r="DPR5" s="2"/>
      <c r="DPT5" s="2"/>
      <c r="DPV5" s="2"/>
      <c r="DPX5" s="2"/>
      <c r="DPZ5" s="2"/>
      <c r="DQB5" s="2"/>
      <c r="DQD5" s="2"/>
      <c r="DQF5" s="2"/>
      <c r="DQH5" s="2"/>
      <c r="DQJ5" s="2"/>
      <c r="DQL5" s="2"/>
      <c r="DQN5" s="2"/>
      <c r="DQP5" s="2"/>
      <c r="DQR5" s="2"/>
      <c r="DQT5" s="2"/>
      <c r="DQV5" s="2"/>
      <c r="DQX5" s="2"/>
      <c r="DQZ5" s="2"/>
      <c r="DRB5" s="2"/>
      <c r="DRD5" s="2"/>
      <c r="DRF5" s="2"/>
      <c r="DRH5" s="2"/>
      <c r="DRJ5" s="2"/>
      <c r="DRL5" s="2"/>
      <c r="DRN5" s="2"/>
      <c r="DRP5" s="2"/>
      <c r="DRR5" s="2"/>
      <c r="DRT5" s="2"/>
      <c r="DRV5" s="2"/>
      <c r="DRX5" s="2"/>
      <c r="DRZ5" s="2"/>
      <c r="DSB5" s="2"/>
      <c r="DSD5" s="2"/>
      <c r="DSF5" s="2"/>
      <c r="DSH5" s="2"/>
      <c r="DSJ5" s="2"/>
      <c r="DSL5" s="2"/>
      <c r="DSN5" s="2"/>
      <c r="DSP5" s="2"/>
      <c r="DSR5" s="2"/>
      <c r="DST5" s="2"/>
      <c r="DSV5" s="2"/>
      <c r="DSX5" s="2"/>
      <c r="DSZ5" s="2"/>
      <c r="DTB5" s="2"/>
      <c r="DTD5" s="2"/>
      <c r="DTF5" s="2"/>
      <c r="DTH5" s="2"/>
      <c r="DTJ5" s="2"/>
      <c r="DTL5" s="2"/>
      <c r="DTN5" s="2"/>
      <c r="DTP5" s="2"/>
      <c r="DTR5" s="2"/>
      <c r="DTT5" s="2"/>
      <c r="DTV5" s="2"/>
      <c r="DTX5" s="2"/>
      <c r="DTZ5" s="2"/>
      <c r="DUB5" s="2"/>
      <c r="DUD5" s="2"/>
      <c r="DUF5" s="2"/>
      <c r="DUH5" s="2"/>
      <c r="DUJ5" s="2"/>
      <c r="DUL5" s="2"/>
      <c r="DUN5" s="2"/>
      <c r="DUP5" s="2"/>
      <c r="DUR5" s="2"/>
      <c r="DUT5" s="2"/>
      <c r="DUV5" s="2"/>
      <c r="DUX5" s="2"/>
      <c r="DUZ5" s="2"/>
      <c r="DVB5" s="2"/>
      <c r="DVD5" s="2"/>
      <c r="DVF5" s="2"/>
      <c r="DVH5" s="2"/>
      <c r="DVJ5" s="2"/>
      <c r="DVL5" s="2"/>
      <c r="DVN5" s="2"/>
      <c r="DVP5" s="2"/>
      <c r="DVR5" s="2"/>
      <c r="DVT5" s="2"/>
      <c r="DVV5" s="2"/>
      <c r="DVX5" s="2"/>
      <c r="DVZ5" s="2"/>
      <c r="DWB5" s="2"/>
      <c r="DWD5" s="2"/>
      <c r="DWF5" s="2"/>
      <c r="DWH5" s="2"/>
      <c r="DWJ5" s="2"/>
      <c r="DWL5" s="2"/>
      <c r="DWN5" s="2"/>
      <c r="DWP5" s="2"/>
      <c r="DWR5" s="2"/>
      <c r="DWT5" s="2"/>
      <c r="DWV5" s="2"/>
      <c r="DWX5" s="2"/>
      <c r="DWZ5" s="2"/>
      <c r="DXB5" s="2"/>
      <c r="DXD5" s="2"/>
      <c r="DXF5" s="2"/>
      <c r="DXH5" s="2"/>
      <c r="DXJ5" s="2"/>
      <c r="DXL5" s="2"/>
      <c r="DXN5" s="2"/>
      <c r="DXP5" s="2"/>
      <c r="DXR5" s="2"/>
      <c r="DXT5" s="2"/>
      <c r="DXV5" s="2"/>
      <c r="DXX5" s="2"/>
      <c r="DXZ5" s="2"/>
      <c r="DYB5" s="2"/>
      <c r="DYD5" s="2"/>
      <c r="DYF5" s="2"/>
      <c r="DYH5" s="2"/>
      <c r="DYJ5" s="2"/>
      <c r="DYL5" s="2"/>
      <c r="DYN5" s="2"/>
      <c r="DYP5" s="2"/>
      <c r="DYR5" s="2"/>
      <c r="DYT5" s="2"/>
      <c r="DYV5" s="2"/>
      <c r="DYX5" s="2"/>
      <c r="DYZ5" s="2"/>
      <c r="DZB5" s="2"/>
      <c r="DZD5" s="2"/>
      <c r="DZF5" s="2"/>
      <c r="DZH5" s="2"/>
      <c r="DZJ5" s="2"/>
      <c r="DZL5" s="2"/>
      <c r="DZN5" s="2"/>
      <c r="DZP5" s="2"/>
      <c r="DZR5" s="2"/>
      <c r="DZT5" s="2"/>
      <c r="DZV5" s="2"/>
      <c r="DZX5" s="2"/>
      <c r="DZZ5" s="2"/>
      <c r="EAB5" s="2"/>
      <c r="EAD5" s="2"/>
      <c r="EAF5" s="2"/>
      <c r="EAH5" s="2"/>
      <c r="EAJ5" s="2"/>
      <c r="EAL5" s="2"/>
      <c r="EAN5" s="2"/>
      <c r="EAP5" s="2"/>
      <c r="EAR5" s="2"/>
      <c r="EAT5" s="2"/>
      <c r="EAV5" s="2"/>
      <c r="EAX5" s="2"/>
      <c r="EAZ5" s="2"/>
      <c r="EBB5" s="2"/>
      <c r="EBD5" s="2"/>
      <c r="EBF5" s="2"/>
      <c r="EBH5" s="2"/>
      <c r="EBJ5" s="2"/>
      <c r="EBL5" s="2"/>
      <c r="EBN5" s="2"/>
      <c r="EBP5" s="2"/>
      <c r="EBR5" s="2"/>
      <c r="EBT5" s="2"/>
      <c r="EBV5" s="2"/>
      <c r="EBX5" s="2"/>
      <c r="EBZ5" s="2"/>
      <c r="ECB5" s="2"/>
      <c r="ECD5" s="2"/>
      <c r="ECF5" s="2"/>
      <c r="ECH5" s="2"/>
      <c r="ECJ5" s="2"/>
      <c r="ECL5" s="2"/>
      <c r="ECN5" s="2"/>
      <c r="ECP5" s="2"/>
      <c r="ECR5" s="2"/>
      <c r="ECT5" s="2"/>
      <c r="ECV5" s="2"/>
      <c r="ECX5" s="2"/>
      <c r="ECZ5" s="2"/>
      <c r="EDB5" s="2"/>
      <c r="EDD5" s="2"/>
      <c r="EDF5" s="2"/>
      <c r="EDH5" s="2"/>
      <c r="EDJ5" s="2"/>
      <c r="EDL5" s="2"/>
      <c r="EDN5" s="2"/>
      <c r="EDP5" s="2"/>
      <c r="EDR5" s="2"/>
      <c r="EDT5" s="2"/>
      <c r="EDV5" s="2"/>
      <c r="EDX5" s="2"/>
      <c r="EDZ5" s="2"/>
      <c r="EEB5" s="2"/>
      <c r="EED5" s="2"/>
      <c r="EEF5" s="2"/>
      <c r="EEH5" s="2"/>
      <c r="EEJ5" s="2"/>
      <c r="EEL5" s="2"/>
      <c r="EEN5" s="2"/>
      <c r="EEP5" s="2"/>
      <c r="EER5" s="2"/>
      <c r="EET5" s="2"/>
      <c r="EEV5" s="2"/>
      <c r="EEX5" s="2"/>
      <c r="EEZ5" s="2"/>
      <c r="EFB5" s="2"/>
      <c r="EFD5" s="2"/>
      <c r="EFF5" s="2"/>
      <c r="EFH5" s="2"/>
      <c r="EFJ5" s="2"/>
      <c r="EFL5" s="2"/>
      <c r="EFN5" s="2"/>
      <c r="EFP5" s="2"/>
      <c r="EFR5" s="2"/>
      <c r="EFT5" s="2"/>
      <c r="EFV5" s="2"/>
      <c r="EFX5" s="2"/>
      <c r="EFZ5" s="2"/>
      <c r="EGB5" s="2"/>
      <c r="EGD5" s="2"/>
      <c r="EGF5" s="2"/>
      <c r="EGH5" s="2"/>
      <c r="EGJ5" s="2"/>
      <c r="EGL5" s="2"/>
      <c r="EGN5" s="2"/>
      <c r="EGP5" s="2"/>
      <c r="EGR5" s="2"/>
      <c r="EGT5" s="2"/>
      <c r="EGV5" s="2"/>
      <c r="EGX5" s="2"/>
      <c r="EGZ5" s="2"/>
      <c r="EHB5" s="2"/>
      <c r="EHD5" s="2"/>
      <c r="EHF5" s="2"/>
      <c r="EHH5" s="2"/>
      <c r="EHJ5" s="2"/>
      <c r="EHL5" s="2"/>
      <c r="EHN5" s="2"/>
      <c r="EHP5" s="2"/>
      <c r="EHR5" s="2"/>
      <c r="EHT5" s="2"/>
      <c r="EHV5" s="2"/>
      <c r="EHX5" s="2"/>
      <c r="EHZ5" s="2"/>
      <c r="EIB5" s="2"/>
      <c r="EID5" s="2"/>
      <c r="EIF5" s="2"/>
      <c r="EIH5" s="2"/>
      <c r="EIJ5" s="2"/>
      <c r="EIL5" s="2"/>
      <c r="EIN5" s="2"/>
      <c r="EIP5" s="2"/>
      <c r="EIR5" s="2"/>
      <c r="EIT5" s="2"/>
      <c r="EIV5" s="2"/>
      <c r="EIX5" s="2"/>
      <c r="EIZ5" s="2"/>
      <c r="EJB5" s="2"/>
      <c r="EJD5" s="2"/>
      <c r="EJF5" s="2"/>
      <c r="EJH5" s="2"/>
      <c r="EJJ5" s="2"/>
      <c r="EJL5" s="2"/>
      <c r="EJN5" s="2"/>
      <c r="EJP5" s="2"/>
      <c r="EJR5" s="2"/>
      <c r="EJT5" s="2"/>
      <c r="EJV5" s="2"/>
      <c r="EJX5" s="2"/>
      <c r="EJZ5" s="2"/>
      <c r="EKB5" s="2"/>
      <c r="EKD5" s="2"/>
      <c r="EKF5" s="2"/>
      <c r="EKH5" s="2"/>
      <c r="EKJ5" s="2"/>
      <c r="EKL5" s="2"/>
      <c r="EKN5" s="2"/>
      <c r="EKP5" s="2"/>
      <c r="EKR5" s="2"/>
      <c r="EKT5" s="2"/>
      <c r="EKV5" s="2"/>
      <c r="EKX5" s="2"/>
      <c r="EKZ5" s="2"/>
      <c r="ELB5" s="2"/>
      <c r="ELD5" s="2"/>
      <c r="ELF5" s="2"/>
      <c r="ELH5" s="2"/>
      <c r="ELJ5" s="2"/>
      <c r="ELL5" s="2"/>
      <c r="ELN5" s="2"/>
      <c r="ELP5" s="2"/>
      <c r="ELR5" s="2"/>
      <c r="ELT5" s="2"/>
      <c r="ELV5" s="2"/>
      <c r="ELX5" s="2"/>
      <c r="ELZ5" s="2"/>
      <c r="EMB5" s="2"/>
      <c r="EMD5" s="2"/>
      <c r="EMF5" s="2"/>
      <c r="EMH5" s="2"/>
      <c r="EMJ5" s="2"/>
      <c r="EML5" s="2"/>
      <c r="EMN5" s="2"/>
      <c r="EMP5" s="2"/>
      <c r="EMR5" s="2"/>
      <c r="EMT5" s="2"/>
      <c r="EMV5" s="2"/>
      <c r="EMX5" s="2"/>
      <c r="EMZ5" s="2"/>
      <c r="ENB5" s="2"/>
      <c r="END5" s="2"/>
      <c r="ENF5" s="2"/>
      <c r="ENH5" s="2"/>
      <c r="ENJ5" s="2"/>
      <c r="ENL5" s="2"/>
      <c r="ENN5" s="2"/>
      <c r="ENP5" s="2"/>
      <c r="ENR5" s="2"/>
      <c r="ENT5" s="2"/>
      <c r="ENV5" s="2"/>
      <c r="ENX5" s="2"/>
      <c r="ENZ5" s="2"/>
      <c r="EOB5" s="2"/>
      <c r="EOD5" s="2"/>
      <c r="EOF5" s="2"/>
      <c r="EOH5" s="2"/>
      <c r="EOJ5" s="2"/>
      <c r="EOL5" s="2"/>
      <c r="EON5" s="2"/>
      <c r="EOP5" s="2"/>
      <c r="EOR5" s="2"/>
      <c r="EOT5" s="2"/>
      <c r="EOV5" s="2"/>
      <c r="EOX5" s="2"/>
      <c r="EOZ5" s="2"/>
      <c r="EPB5" s="2"/>
      <c r="EPD5" s="2"/>
      <c r="EPF5" s="2"/>
      <c r="EPH5" s="2"/>
      <c r="EPJ5" s="2"/>
      <c r="EPL5" s="2"/>
      <c r="EPN5" s="2"/>
      <c r="EPP5" s="2"/>
      <c r="EPR5" s="2"/>
      <c r="EPT5" s="2"/>
      <c r="EPV5" s="2"/>
      <c r="EPX5" s="2"/>
      <c r="EPZ5" s="2"/>
      <c r="EQB5" s="2"/>
      <c r="EQD5" s="2"/>
      <c r="EQF5" s="2"/>
      <c r="EQH5" s="2"/>
      <c r="EQJ5" s="2"/>
      <c r="EQL5" s="2"/>
      <c r="EQN5" s="2"/>
      <c r="EQP5" s="2"/>
      <c r="EQR5" s="2"/>
      <c r="EQT5" s="2"/>
      <c r="EQV5" s="2"/>
      <c r="EQX5" s="2"/>
      <c r="EQZ5" s="2"/>
      <c r="ERB5" s="2"/>
      <c r="ERD5" s="2"/>
      <c r="ERF5" s="2"/>
      <c r="ERH5" s="2"/>
      <c r="ERJ5" s="2"/>
      <c r="ERL5" s="2"/>
      <c r="ERN5" s="2"/>
      <c r="ERP5" s="2"/>
      <c r="ERR5" s="2"/>
      <c r="ERT5" s="2"/>
      <c r="ERV5" s="2"/>
      <c r="ERX5" s="2"/>
      <c r="ERZ5" s="2"/>
      <c r="ESB5" s="2"/>
      <c r="ESD5" s="2"/>
      <c r="ESF5" s="2"/>
      <c r="ESH5" s="2"/>
      <c r="ESJ5" s="2"/>
      <c r="ESL5" s="2"/>
      <c r="ESN5" s="2"/>
      <c r="ESP5" s="2"/>
      <c r="ESR5" s="2"/>
      <c r="EST5" s="2"/>
      <c r="ESV5" s="2"/>
      <c r="ESX5" s="2"/>
      <c r="ESZ5" s="2"/>
      <c r="ETB5" s="2"/>
      <c r="ETD5" s="2"/>
      <c r="ETF5" s="2"/>
      <c r="ETH5" s="2"/>
      <c r="ETJ5" s="2"/>
      <c r="ETL5" s="2"/>
      <c r="ETN5" s="2"/>
      <c r="ETP5" s="2"/>
      <c r="ETR5" s="2"/>
      <c r="ETT5" s="2"/>
      <c r="ETV5" s="2"/>
      <c r="ETX5" s="2"/>
      <c r="ETZ5" s="2"/>
      <c r="EUB5" s="2"/>
      <c r="EUD5" s="2"/>
      <c r="EUF5" s="2"/>
      <c r="EUH5" s="2"/>
      <c r="EUJ5" s="2"/>
      <c r="EUL5" s="2"/>
      <c r="EUN5" s="2"/>
      <c r="EUP5" s="2"/>
      <c r="EUR5" s="2"/>
      <c r="EUT5" s="2"/>
      <c r="EUV5" s="2"/>
      <c r="EUX5" s="2"/>
      <c r="EUZ5" s="2"/>
      <c r="EVB5" s="2"/>
      <c r="EVD5" s="2"/>
      <c r="EVF5" s="2"/>
      <c r="EVH5" s="2"/>
      <c r="EVJ5" s="2"/>
      <c r="EVL5" s="2"/>
      <c r="EVN5" s="2"/>
      <c r="EVP5" s="2"/>
      <c r="EVR5" s="2"/>
      <c r="EVT5" s="2"/>
      <c r="EVV5" s="2"/>
      <c r="EVX5" s="2"/>
      <c r="EVZ5" s="2"/>
      <c r="EWB5" s="2"/>
      <c r="EWD5" s="2"/>
      <c r="EWF5" s="2"/>
      <c r="EWH5" s="2"/>
      <c r="EWJ5" s="2"/>
      <c r="EWL5" s="2"/>
      <c r="EWN5" s="2"/>
      <c r="EWP5" s="2"/>
      <c r="EWR5" s="2"/>
      <c r="EWT5" s="2"/>
      <c r="EWV5" s="2"/>
      <c r="EWX5" s="2"/>
      <c r="EWZ5" s="2"/>
      <c r="EXB5" s="2"/>
      <c r="EXD5" s="2"/>
      <c r="EXF5" s="2"/>
      <c r="EXH5" s="2"/>
      <c r="EXJ5" s="2"/>
      <c r="EXL5" s="2"/>
      <c r="EXN5" s="2"/>
      <c r="EXP5" s="2"/>
      <c r="EXR5" s="2"/>
      <c r="EXT5" s="2"/>
      <c r="EXV5" s="2"/>
      <c r="EXX5" s="2"/>
      <c r="EXZ5" s="2"/>
      <c r="EYB5" s="2"/>
      <c r="EYD5" s="2"/>
      <c r="EYF5" s="2"/>
      <c r="EYH5" s="2"/>
      <c r="EYJ5" s="2"/>
      <c r="EYL5" s="2"/>
      <c r="EYN5" s="2"/>
      <c r="EYP5" s="2"/>
      <c r="EYR5" s="2"/>
      <c r="EYT5" s="2"/>
      <c r="EYV5" s="2"/>
      <c r="EYX5" s="2"/>
      <c r="EYZ5" s="2"/>
      <c r="EZB5" s="2"/>
      <c r="EZD5" s="2"/>
      <c r="EZF5" s="2"/>
      <c r="EZH5" s="2"/>
      <c r="EZJ5" s="2"/>
      <c r="EZL5" s="2"/>
      <c r="EZN5" s="2"/>
      <c r="EZP5" s="2"/>
      <c r="EZR5" s="2"/>
      <c r="EZT5" s="2"/>
      <c r="EZV5" s="2"/>
      <c r="EZX5" s="2"/>
      <c r="EZZ5" s="2"/>
      <c r="FAB5" s="2"/>
      <c r="FAD5" s="2"/>
      <c r="FAF5" s="2"/>
      <c r="FAH5" s="2"/>
      <c r="FAJ5" s="2"/>
      <c r="FAL5" s="2"/>
      <c r="FAN5" s="2"/>
      <c r="FAP5" s="2"/>
      <c r="FAR5" s="2"/>
      <c r="FAT5" s="2"/>
      <c r="FAV5" s="2"/>
      <c r="FAX5" s="2"/>
      <c r="FAZ5" s="2"/>
      <c r="FBB5" s="2"/>
      <c r="FBD5" s="2"/>
      <c r="FBF5" s="2"/>
      <c r="FBH5" s="2"/>
      <c r="FBJ5" s="2"/>
      <c r="FBL5" s="2"/>
      <c r="FBN5" s="2"/>
      <c r="FBP5" s="2"/>
      <c r="FBR5" s="2"/>
      <c r="FBT5" s="2"/>
      <c r="FBV5" s="2"/>
      <c r="FBX5" s="2"/>
      <c r="FBZ5" s="2"/>
      <c r="FCB5" s="2"/>
      <c r="FCD5" s="2"/>
      <c r="FCF5" s="2"/>
      <c r="FCH5" s="2"/>
      <c r="FCJ5" s="2"/>
      <c r="FCL5" s="2"/>
      <c r="FCN5" s="2"/>
      <c r="FCP5" s="2"/>
      <c r="FCR5" s="2"/>
      <c r="FCT5" s="2"/>
      <c r="FCV5" s="2"/>
      <c r="FCX5" s="2"/>
      <c r="FCZ5" s="2"/>
      <c r="FDB5" s="2"/>
      <c r="FDD5" s="2"/>
      <c r="FDF5" s="2"/>
      <c r="FDH5" s="2"/>
      <c r="FDJ5" s="2"/>
      <c r="FDL5" s="2"/>
      <c r="FDN5" s="2"/>
      <c r="FDP5" s="2"/>
      <c r="FDR5" s="2"/>
      <c r="FDT5" s="2"/>
      <c r="FDV5" s="2"/>
      <c r="FDX5" s="2"/>
      <c r="FDZ5" s="2"/>
      <c r="FEB5" s="2"/>
      <c r="FED5" s="2"/>
      <c r="FEF5" s="2"/>
      <c r="FEH5" s="2"/>
      <c r="FEJ5" s="2"/>
      <c r="FEL5" s="2"/>
      <c r="FEN5" s="2"/>
      <c r="FEP5" s="2"/>
      <c r="FER5" s="2"/>
      <c r="FET5" s="2"/>
      <c r="FEV5" s="2"/>
      <c r="FEX5" s="2"/>
      <c r="FEZ5" s="2"/>
      <c r="FFB5" s="2"/>
      <c r="FFD5" s="2"/>
      <c r="FFF5" s="2"/>
      <c r="FFH5" s="2"/>
      <c r="FFJ5" s="2"/>
      <c r="FFL5" s="2"/>
      <c r="FFN5" s="2"/>
      <c r="FFP5" s="2"/>
      <c r="FFR5" s="2"/>
      <c r="FFT5" s="2"/>
      <c r="FFV5" s="2"/>
      <c r="FFX5" s="2"/>
      <c r="FFZ5" s="2"/>
      <c r="FGB5" s="2"/>
      <c r="FGD5" s="2"/>
      <c r="FGF5" s="2"/>
      <c r="FGH5" s="2"/>
      <c r="FGJ5" s="2"/>
      <c r="FGL5" s="2"/>
      <c r="FGN5" s="2"/>
      <c r="FGP5" s="2"/>
      <c r="FGR5" s="2"/>
      <c r="FGT5" s="2"/>
      <c r="FGV5" s="2"/>
      <c r="FGX5" s="2"/>
      <c r="FGZ5" s="2"/>
      <c r="FHB5" s="2"/>
      <c r="FHD5" s="2"/>
      <c r="FHF5" s="2"/>
      <c r="FHH5" s="2"/>
      <c r="FHJ5" s="2"/>
      <c r="FHL5" s="2"/>
      <c r="FHN5" s="2"/>
      <c r="FHP5" s="2"/>
      <c r="FHR5" s="2"/>
      <c r="FHT5" s="2"/>
      <c r="FHV5" s="2"/>
      <c r="FHX5" s="2"/>
      <c r="FHZ5" s="2"/>
      <c r="FIB5" s="2"/>
      <c r="FID5" s="2"/>
      <c r="FIF5" s="2"/>
      <c r="FIH5" s="2"/>
      <c r="FIJ5" s="2"/>
      <c r="FIL5" s="2"/>
      <c r="FIN5" s="2"/>
      <c r="FIP5" s="2"/>
      <c r="FIR5" s="2"/>
      <c r="FIT5" s="2"/>
      <c r="FIV5" s="2"/>
      <c r="FIX5" s="2"/>
      <c r="FIZ5" s="2"/>
      <c r="FJB5" s="2"/>
      <c r="FJD5" s="2"/>
      <c r="FJF5" s="2"/>
      <c r="FJH5" s="2"/>
      <c r="FJJ5" s="2"/>
      <c r="FJL5" s="2"/>
      <c r="FJN5" s="2"/>
      <c r="FJP5" s="2"/>
      <c r="FJR5" s="2"/>
      <c r="FJT5" s="2"/>
      <c r="FJV5" s="2"/>
      <c r="FJX5" s="2"/>
      <c r="FJZ5" s="2"/>
      <c r="FKB5" s="2"/>
      <c r="FKD5" s="2"/>
      <c r="FKF5" s="2"/>
      <c r="FKH5" s="2"/>
      <c r="FKJ5" s="2"/>
      <c r="FKL5" s="2"/>
      <c r="FKN5" s="2"/>
      <c r="FKP5" s="2"/>
      <c r="FKR5" s="2"/>
      <c r="FKT5" s="2"/>
      <c r="FKV5" s="2"/>
      <c r="FKX5" s="2"/>
      <c r="FKZ5" s="2"/>
      <c r="FLB5" s="2"/>
      <c r="FLD5" s="2"/>
      <c r="FLF5" s="2"/>
      <c r="FLH5" s="2"/>
      <c r="FLJ5" s="2"/>
      <c r="FLL5" s="2"/>
      <c r="FLN5" s="2"/>
      <c r="FLP5" s="2"/>
      <c r="FLR5" s="2"/>
      <c r="FLT5" s="2"/>
      <c r="FLV5" s="2"/>
      <c r="FLX5" s="2"/>
      <c r="FLZ5" s="2"/>
      <c r="FMB5" s="2"/>
      <c r="FMD5" s="2"/>
      <c r="FMF5" s="2"/>
      <c r="FMH5" s="2"/>
      <c r="FMJ5" s="2"/>
      <c r="FML5" s="2"/>
      <c r="FMN5" s="2"/>
      <c r="FMP5" s="2"/>
      <c r="FMR5" s="2"/>
      <c r="FMT5" s="2"/>
      <c r="FMV5" s="2"/>
      <c r="FMX5" s="2"/>
      <c r="FMZ5" s="2"/>
      <c r="FNB5" s="2"/>
      <c r="FND5" s="2"/>
      <c r="FNF5" s="2"/>
      <c r="FNH5" s="2"/>
      <c r="FNJ5" s="2"/>
      <c r="FNL5" s="2"/>
      <c r="FNN5" s="2"/>
      <c r="FNP5" s="2"/>
      <c r="FNR5" s="2"/>
      <c r="FNT5" s="2"/>
      <c r="FNV5" s="2"/>
      <c r="FNX5" s="2"/>
      <c r="FNZ5" s="2"/>
      <c r="FOB5" s="2"/>
      <c r="FOD5" s="2"/>
      <c r="FOF5" s="2"/>
      <c r="FOH5" s="2"/>
      <c r="FOJ5" s="2"/>
      <c r="FOL5" s="2"/>
      <c r="FON5" s="2"/>
      <c r="FOP5" s="2"/>
      <c r="FOR5" s="2"/>
      <c r="FOT5" s="2"/>
      <c r="FOV5" s="2"/>
      <c r="FOX5" s="2"/>
      <c r="FOZ5" s="2"/>
      <c r="FPB5" s="2"/>
      <c r="FPD5" s="2"/>
      <c r="FPF5" s="2"/>
      <c r="FPH5" s="2"/>
      <c r="FPJ5" s="2"/>
      <c r="FPL5" s="2"/>
      <c r="FPN5" s="2"/>
      <c r="FPP5" s="2"/>
      <c r="FPR5" s="2"/>
      <c r="FPT5" s="2"/>
      <c r="FPV5" s="2"/>
      <c r="FPX5" s="2"/>
      <c r="FPZ5" s="2"/>
      <c r="FQB5" s="2"/>
      <c r="FQD5" s="2"/>
      <c r="FQF5" s="2"/>
      <c r="FQH5" s="2"/>
      <c r="FQJ5" s="2"/>
      <c r="FQL5" s="2"/>
      <c r="FQN5" s="2"/>
      <c r="FQP5" s="2"/>
      <c r="FQR5" s="2"/>
      <c r="FQT5" s="2"/>
      <c r="FQV5" s="2"/>
      <c r="FQX5" s="2"/>
      <c r="FQZ5" s="2"/>
      <c r="FRB5" s="2"/>
      <c r="FRD5" s="2"/>
      <c r="FRF5" s="2"/>
      <c r="FRH5" s="2"/>
      <c r="FRJ5" s="2"/>
      <c r="FRL5" s="2"/>
      <c r="FRN5" s="2"/>
      <c r="FRP5" s="2"/>
      <c r="FRR5" s="2"/>
      <c r="FRT5" s="2"/>
      <c r="FRV5" s="2"/>
      <c r="FRX5" s="2"/>
      <c r="FRZ5" s="2"/>
      <c r="FSB5" s="2"/>
      <c r="FSD5" s="2"/>
      <c r="FSF5" s="2"/>
      <c r="FSH5" s="2"/>
      <c r="FSJ5" s="2"/>
      <c r="FSL5" s="2"/>
      <c r="FSN5" s="2"/>
      <c r="FSP5" s="2"/>
      <c r="FSR5" s="2"/>
      <c r="FST5" s="2"/>
      <c r="FSV5" s="2"/>
      <c r="FSX5" s="2"/>
      <c r="FSZ5" s="2"/>
      <c r="FTB5" s="2"/>
      <c r="FTD5" s="2"/>
      <c r="FTF5" s="2"/>
      <c r="FTH5" s="2"/>
      <c r="FTJ5" s="2"/>
      <c r="FTL5" s="2"/>
      <c r="FTN5" s="2"/>
      <c r="FTP5" s="2"/>
      <c r="FTR5" s="2"/>
      <c r="FTT5" s="2"/>
      <c r="FTV5" s="2"/>
      <c r="FTX5" s="2"/>
      <c r="FTZ5" s="2"/>
      <c r="FUB5" s="2"/>
      <c r="FUD5" s="2"/>
      <c r="FUF5" s="2"/>
      <c r="FUH5" s="2"/>
      <c r="FUJ5" s="2"/>
      <c r="FUL5" s="2"/>
      <c r="FUN5" s="2"/>
      <c r="FUP5" s="2"/>
      <c r="FUR5" s="2"/>
      <c r="FUT5" s="2"/>
      <c r="FUV5" s="2"/>
      <c r="FUX5" s="2"/>
      <c r="FUZ5" s="2"/>
      <c r="FVB5" s="2"/>
      <c r="FVD5" s="2"/>
      <c r="FVF5" s="2"/>
      <c r="FVH5" s="2"/>
      <c r="FVJ5" s="2"/>
      <c r="FVL5" s="2"/>
      <c r="FVN5" s="2"/>
      <c r="FVP5" s="2"/>
      <c r="FVR5" s="2"/>
      <c r="FVT5" s="2"/>
      <c r="FVV5" s="2"/>
      <c r="FVX5" s="2"/>
      <c r="FVZ5" s="2"/>
      <c r="FWB5" s="2"/>
      <c r="FWD5" s="2"/>
      <c r="FWF5" s="2"/>
      <c r="FWH5" s="2"/>
      <c r="FWJ5" s="2"/>
      <c r="FWL5" s="2"/>
      <c r="FWN5" s="2"/>
      <c r="FWP5" s="2"/>
      <c r="FWR5" s="2"/>
      <c r="FWT5" s="2"/>
      <c r="FWV5" s="2"/>
      <c r="FWX5" s="2"/>
      <c r="FWZ5" s="2"/>
      <c r="FXB5" s="2"/>
      <c r="FXD5" s="2"/>
      <c r="FXF5" s="2"/>
      <c r="FXH5" s="2"/>
      <c r="FXJ5" s="2"/>
      <c r="FXL5" s="2"/>
      <c r="FXN5" s="2"/>
      <c r="FXP5" s="2"/>
      <c r="FXR5" s="2"/>
      <c r="FXT5" s="2"/>
      <c r="FXV5" s="2"/>
      <c r="FXX5" s="2"/>
      <c r="FXZ5" s="2"/>
      <c r="FYB5" s="2"/>
      <c r="FYD5" s="2"/>
      <c r="FYF5" s="2"/>
      <c r="FYH5" s="2"/>
      <c r="FYJ5" s="2"/>
      <c r="FYL5" s="2"/>
      <c r="FYN5" s="2"/>
      <c r="FYP5" s="2"/>
      <c r="FYR5" s="2"/>
      <c r="FYT5" s="2"/>
      <c r="FYV5" s="2"/>
      <c r="FYX5" s="2"/>
      <c r="FYZ5" s="2"/>
      <c r="FZB5" s="2"/>
      <c r="FZD5" s="2"/>
      <c r="FZF5" s="2"/>
      <c r="FZH5" s="2"/>
      <c r="FZJ5" s="2"/>
      <c r="FZL5" s="2"/>
      <c r="FZN5" s="2"/>
      <c r="FZP5" s="2"/>
      <c r="FZR5" s="2"/>
      <c r="FZT5" s="2"/>
      <c r="FZV5" s="2"/>
      <c r="FZX5" s="2"/>
      <c r="FZZ5" s="2"/>
      <c r="GAB5" s="2"/>
      <c r="GAD5" s="2"/>
      <c r="GAF5" s="2"/>
      <c r="GAH5" s="2"/>
      <c r="GAJ5" s="2"/>
      <c r="GAL5" s="2"/>
      <c r="GAN5" s="2"/>
      <c r="GAP5" s="2"/>
      <c r="GAR5" s="2"/>
      <c r="GAT5" s="2"/>
      <c r="GAV5" s="2"/>
      <c r="GAX5" s="2"/>
      <c r="GAZ5" s="2"/>
      <c r="GBB5" s="2"/>
      <c r="GBD5" s="2"/>
      <c r="GBF5" s="2"/>
      <c r="GBH5" s="2"/>
      <c r="GBJ5" s="2"/>
      <c r="GBL5" s="2"/>
      <c r="GBN5" s="2"/>
      <c r="GBP5" s="2"/>
      <c r="GBR5" s="2"/>
      <c r="GBT5" s="2"/>
      <c r="GBV5" s="2"/>
      <c r="GBX5" s="2"/>
      <c r="GBZ5" s="2"/>
      <c r="GCB5" s="2"/>
      <c r="GCD5" s="2"/>
      <c r="GCF5" s="2"/>
      <c r="GCH5" s="2"/>
      <c r="GCJ5" s="2"/>
      <c r="GCL5" s="2"/>
      <c r="GCN5" s="2"/>
      <c r="GCP5" s="2"/>
      <c r="GCR5" s="2"/>
      <c r="GCT5" s="2"/>
      <c r="GCV5" s="2"/>
      <c r="GCX5" s="2"/>
      <c r="GCZ5" s="2"/>
      <c r="GDB5" s="2"/>
      <c r="GDD5" s="2"/>
      <c r="GDF5" s="2"/>
      <c r="GDH5" s="2"/>
      <c r="GDJ5" s="2"/>
      <c r="GDL5" s="2"/>
      <c r="GDN5" s="2"/>
      <c r="GDP5" s="2"/>
      <c r="GDR5" s="2"/>
      <c r="GDT5" s="2"/>
      <c r="GDV5" s="2"/>
      <c r="GDX5" s="2"/>
      <c r="GDZ5" s="2"/>
      <c r="GEB5" s="2"/>
      <c r="GED5" s="2"/>
      <c r="GEF5" s="2"/>
      <c r="GEH5" s="2"/>
      <c r="GEJ5" s="2"/>
      <c r="GEL5" s="2"/>
      <c r="GEN5" s="2"/>
      <c r="GEP5" s="2"/>
      <c r="GER5" s="2"/>
      <c r="GET5" s="2"/>
      <c r="GEV5" s="2"/>
      <c r="GEX5" s="2"/>
      <c r="GEZ5" s="2"/>
      <c r="GFB5" s="2"/>
      <c r="GFD5" s="2"/>
      <c r="GFF5" s="2"/>
      <c r="GFH5" s="2"/>
      <c r="GFJ5" s="2"/>
      <c r="GFL5" s="2"/>
      <c r="GFN5" s="2"/>
      <c r="GFP5" s="2"/>
      <c r="GFR5" s="2"/>
      <c r="GFT5" s="2"/>
      <c r="GFV5" s="2"/>
      <c r="GFX5" s="2"/>
      <c r="GFZ5" s="2"/>
      <c r="GGB5" s="2"/>
      <c r="GGD5" s="2"/>
      <c r="GGF5" s="2"/>
      <c r="GGH5" s="2"/>
      <c r="GGJ5" s="2"/>
      <c r="GGL5" s="2"/>
      <c r="GGN5" s="2"/>
      <c r="GGP5" s="2"/>
      <c r="GGR5" s="2"/>
      <c r="GGT5" s="2"/>
      <c r="GGV5" s="2"/>
      <c r="GGX5" s="2"/>
      <c r="GGZ5" s="2"/>
      <c r="GHB5" s="2"/>
      <c r="GHD5" s="2"/>
      <c r="GHF5" s="2"/>
      <c r="GHH5" s="2"/>
      <c r="GHJ5" s="2"/>
      <c r="GHL5" s="2"/>
      <c r="GHN5" s="2"/>
      <c r="GHP5" s="2"/>
      <c r="GHR5" s="2"/>
      <c r="GHT5" s="2"/>
      <c r="GHV5" s="2"/>
      <c r="GHX5" s="2"/>
      <c r="GHZ5" s="2"/>
      <c r="GIB5" s="2"/>
      <c r="GID5" s="2"/>
      <c r="GIF5" s="2"/>
      <c r="GIH5" s="2"/>
      <c r="GIJ5" s="2"/>
      <c r="GIL5" s="2"/>
      <c r="GIN5" s="2"/>
      <c r="GIP5" s="2"/>
      <c r="GIR5" s="2"/>
      <c r="GIT5" s="2"/>
      <c r="GIV5" s="2"/>
      <c r="GIX5" s="2"/>
      <c r="GIZ5" s="2"/>
      <c r="GJB5" s="2"/>
      <c r="GJD5" s="2"/>
      <c r="GJF5" s="2"/>
      <c r="GJH5" s="2"/>
      <c r="GJJ5" s="2"/>
      <c r="GJL5" s="2"/>
      <c r="GJN5" s="2"/>
      <c r="GJP5" s="2"/>
      <c r="GJR5" s="2"/>
      <c r="GJT5" s="2"/>
      <c r="GJV5" s="2"/>
      <c r="GJX5" s="2"/>
      <c r="GJZ5" s="2"/>
      <c r="GKB5" s="2"/>
      <c r="GKD5" s="2"/>
      <c r="GKF5" s="2"/>
      <c r="GKH5" s="2"/>
      <c r="GKJ5" s="2"/>
      <c r="GKL5" s="2"/>
      <c r="GKN5" s="2"/>
      <c r="GKP5" s="2"/>
      <c r="GKR5" s="2"/>
      <c r="GKT5" s="2"/>
      <c r="GKV5" s="2"/>
      <c r="GKX5" s="2"/>
      <c r="GKZ5" s="2"/>
      <c r="GLB5" s="2"/>
      <c r="GLD5" s="2"/>
      <c r="GLF5" s="2"/>
      <c r="GLH5" s="2"/>
      <c r="GLJ5" s="2"/>
      <c r="GLL5" s="2"/>
      <c r="GLN5" s="2"/>
      <c r="GLP5" s="2"/>
      <c r="GLR5" s="2"/>
      <c r="GLT5" s="2"/>
      <c r="GLV5" s="2"/>
      <c r="GLX5" s="2"/>
      <c r="GLZ5" s="2"/>
      <c r="GMB5" s="2"/>
      <c r="GMD5" s="2"/>
      <c r="GMF5" s="2"/>
      <c r="GMH5" s="2"/>
      <c r="GMJ5" s="2"/>
      <c r="GML5" s="2"/>
      <c r="GMN5" s="2"/>
      <c r="GMP5" s="2"/>
      <c r="GMR5" s="2"/>
      <c r="GMT5" s="2"/>
      <c r="GMV5" s="2"/>
      <c r="GMX5" s="2"/>
      <c r="GMZ5" s="2"/>
      <c r="GNB5" s="2"/>
      <c r="GND5" s="2"/>
      <c r="GNF5" s="2"/>
      <c r="GNH5" s="2"/>
      <c r="GNJ5" s="2"/>
      <c r="GNL5" s="2"/>
      <c r="GNN5" s="2"/>
      <c r="GNP5" s="2"/>
      <c r="GNR5" s="2"/>
      <c r="GNT5" s="2"/>
      <c r="GNV5" s="2"/>
      <c r="GNX5" s="2"/>
      <c r="GNZ5" s="2"/>
      <c r="GOB5" s="2"/>
      <c r="GOD5" s="2"/>
      <c r="GOF5" s="2"/>
      <c r="GOH5" s="2"/>
      <c r="GOJ5" s="2"/>
      <c r="GOL5" s="2"/>
      <c r="GON5" s="2"/>
      <c r="GOP5" s="2"/>
      <c r="GOR5" s="2"/>
      <c r="GOT5" s="2"/>
      <c r="GOV5" s="2"/>
      <c r="GOX5" s="2"/>
      <c r="GOZ5" s="2"/>
      <c r="GPB5" s="2"/>
      <c r="GPD5" s="2"/>
      <c r="GPF5" s="2"/>
      <c r="GPH5" s="2"/>
      <c r="GPJ5" s="2"/>
      <c r="GPL5" s="2"/>
      <c r="GPN5" s="2"/>
      <c r="GPP5" s="2"/>
      <c r="GPR5" s="2"/>
      <c r="GPT5" s="2"/>
      <c r="GPV5" s="2"/>
      <c r="GPX5" s="2"/>
      <c r="GPZ5" s="2"/>
      <c r="GQB5" s="2"/>
      <c r="GQD5" s="2"/>
      <c r="GQF5" s="2"/>
      <c r="GQH5" s="2"/>
      <c r="GQJ5" s="2"/>
      <c r="GQL5" s="2"/>
      <c r="GQN5" s="2"/>
      <c r="GQP5" s="2"/>
      <c r="GQR5" s="2"/>
      <c r="GQT5" s="2"/>
      <c r="GQV5" s="2"/>
      <c r="GQX5" s="2"/>
      <c r="GQZ5" s="2"/>
      <c r="GRB5" s="2"/>
      <c r="GRD5" s="2"/>
      <c r="GRF5" s="2"/>
      <c r="GRH5" s="2"/>
      <c r="GRJ5" s="2"/>
      <c r="GRL5" s="2"/>
      <c r="GRN5" s="2"/>
      <c r="GRP5" s="2"/>
      <c r="GRR5" s="2"/>
      <c r="GRT5" s="2"/>
      <c r="GRV5" s="2"/>
      <c r="GRX5" s="2"/>
      <c r="GRZ5" s="2"/>
      <c r="GSB5" s="2"/>
      <c r="GSD5" s="2"/>
      <c r="GSF5" s="2"/>
      <c r="GSH5" s="2"/>
      <c r="GSJ5" s="2"/>
      <c r="GSL5" s="2"/>
      <c r="GSN5" s="2"/>
      <c r="GSP5" s="2"/>
      <c r="GSR5" s="2"/>
      <c r="GST5" s="2"/>
      <c r="GSV5" s="2"/>
      <c r="GSX5" s="2"/>
      <c r="GSZ5" s="2"/>
      <c r="GTB5" s="2"/>
      <c r="GTD5" s="2"/>
      <c r="GTF5" s="2"/>
      <c r="GTH5" s="2"/>
      <c r="GTJ5" s="2"/>
      <c r="GTL5" s="2"/>
      <c r="GTN5" s="2"/>
      <c r="GTP5" s="2"/>
      <c r="GTR5" s="2"/>
      <c r="GTT5" s="2"/>
      <c r="GTV5" s="2"/>
      <c r="GTX5" s="2"/>
      <c r="GTZ5" s="2"/>
      <c r="GUB5" s="2"/>
      <c r="GUD5" s="2"/>
      <c r="GUF5" s="2"/>
      <c r="GUH5" s="2"/>
      <c r="GUJ5" s="2"/>
      <c r="GUL5" s="2"/>
      <c r="GUN5" s="2"/>
      <c r="GUP5" s="2"/>
      <c r="GUR5" s="2"/>
      <c r="GUT5" s="2"/>
      <c r="GUV5" s="2"/>
      <c r="GUX5" s="2"/>
      <c r="GUZ5" s="2"/>
      <c r="GVB5" s="2"/>
      <c r="GVD5" s="2"/>
      <c r="GVF5" s="2"/>
      <c r="GVH5" s="2"/>
      <c r="GVJ5" s="2"/>
      <c r="GVL5" s="2"/>
      <c r="GVN5" s="2"/>
      <c r="GVP5" s="2"/>
      <c r="GVR5" s="2"/>
      <c r="GVT5" s="2"/>
      <c r="GVV5" s="2"/>
      <c r="GVX5" s="2"/>
      <c r="GVZ5" s="2"/>
      <c r="GWB5" s="2"/>
      <c r="GWD5" s="2"/>
      <c r="GWF5" s="2"/>
      <c r="GWH5" s="2"/>
      <c r="GWJ5" s="2"/>
      <c r="GWL5" s="2"/>
      <c r="GWN5" s="2"/>
      <c r="GWP5" s="2"/>
      <c r="GWR5" s="2"/>
      <c r="GWT5" s="2"/>
      <c r="GWV5" s="2"/>
      <c r="GWX5" s="2"/>
      <c r="GWZ5" s="2"/>
      <c r="GXB5" s="2"/>
      <c r="GXD5" s="2"/>
      <c r="GXF5" s="2"/>
      <c r="GXH5" s="2"/>
      <c r="GXJ5" s="2"/>
      <c r="GXL5" s="2"/>
      <c r="GXN5" s="2"/>
      <c r="GXP5" s="2"/>
      <c r="GXR5" s="2"/>
      <c r="GXT5" s="2"/>
      <c r="GXV5" s="2"/>
      <c r="GXX5" s="2"/>
      <c r="GXZ5" s="2"/>
      <c r="GYB5" s="2"/>
      <c r="GYD5" s="2"/>
      <c r="GYF5" s="2"/>
      <c r="GYH5" s="2"/>
      <c r="GYJ5" s="2"/>
      <c r="GYL5" s="2"/>
      <c r="GYN5" s="2"/>
      <c r="GYP5" s="2"/>
      <c r="GYR5" s="2"/>
      <c r="GYT5" s="2"/>
      <c r="GYV5" s="2"/>
      <c r="GYX5" s="2"/>
      <c r="GYZ5" s="2"/>
      <c r="GZB5" s="2"/>
      <c r="GZD5" s="2"/>
      <c r="GZF5" s="2"/>
      <c r="GZH5" s="2"/>
      <c r="GZJ5" s="2"/>
      <c r="GZL5" s="2"/>
      <c r="GZN5" s="2"/>
      <c r="GZP5" s="2"/>
      <c r="GZR5" s="2"/>
      <c r="GZT5" s="2"/>
      <c r="GZV5" s="2"/>
      <c r="GZX5" s="2"/>
      <c r="GZZ5" s="2"/>
      <c r="HAB5" s="2"/>
      <c r="HAD5" s="2"/>
      <c r="HAF5" s="2"/>
      <c r="HAH5" s="2"/>
      <c r="HAJ5" s="2"/>
      <c r="HAL5" s="2"/>
      <c r="HAN5" s="2"/>
      <c r="HAP5" s="2"/>
      <c r="HAR5" s="2"/>
      <c r="HAT5" s="2"/>
      <c r="HAV5" s="2"/>
      <c r="HAX5" s="2"/>
      <c r="HAZ5" s="2"/>
      <c r="HBB5" s="2"/>
      <c r="HBD5" s="2"/>
      <c r="HBF5" s="2"/>
      <c r="HBH5" s="2"/>
      <c r="HBJ5" s="2"/>
      <c r="HBL5" s="2"/>
      <c r="HBN5" s="2"/>
      <c r="HBP5" s="2"/>
      <c r="HBR5" s="2"/>
      <c r="HBT5" s="2"/>
      <c r="HBV5" s="2"/>
      <c r="HBX5" s="2"/>
      <c r="HBZ5" s="2"/>
      <c r="HCB5" s="2"/>
      <c r="HCD5" s="2"/>
      <c r="HCF5" s="2"/>
      <c r="HCH5" s="2"/>
      <c r="HCJ5" s="2"/>
      <c r="HCL5" s="2"/>
      <c r="HCN5" s="2"/>
      <c r="HCP5" s="2"/>
      <c r="HCR5" s="2"/>
      <c r="HCT5" s="2"/>
      <c r="HCV5" s="2"/>
      <c r="HCX5" s="2"/>
      <c r="HCZ5" s="2"/>
      <c r="HDB5" s="2"/>
      <c r="HDD5" s="2"/>
      <c r="HDF5" s="2"/>
      <c r="HDH5" s="2"/>
      <c r="HDJ5" s="2"/>
      <c r="HDL5" s="2"/>
      <c r="HDN5" s="2"/>
      <c r="HDP5" s="2"/>
      <c r="HDR5" s="2"/>
      <c r="HDT5" s="2"/>
      <c r="HDV5" s="2"/>
      <c r="HDX5" s="2"/>
      <c r="HDZ5" s="2"/>
      <c r="HEB5" s="2"/>
      <c r="HED5" s="2"/>
      <c r="HEF5" s="2"/>
      <c r="HEH5" s="2"/>
      <c r="HEJ5" s="2"/>
      <c r="HEL5" s="2"/>
      <c r="HEN5" s="2"/>
      <c r="HEP5" s="2"/>
      <c r="HER5" s="2"/>
      <c r="HET5" s="2"/>
      <c r="HEV5" s="2"/>
      <c r="HEX5" s="2"/>
      <c r="HEZ5" s="2"/>
      <c r="HFB5" s="2"/>
      <c r="HFD5" s="2"/>
      <c r="HFF5" s="2"/>
      <c r="HFH5" s="2"/>
      <c r="HFJ5" s="2"/>
      <c r="HFL5" s="2"/>
      <c r="HFN5" s="2"/>
      <c r="HFP5" s="2"/>
      <c r="HFR5" s="2"/>
      <c r="HFT5" s="2"/>
      <c r="HFV5" s="2"/>
      <c r="HFX5" s="2"/>
      <c r="HFZ5" s="2"/>
      <c r="HGB5" s="2"/>
      <c r="HGD5" s="2"/>
      <c r="HGF5" s="2"/>
      <c r="HGH5" s="2"/>
      <c r="HGJ5" s="2"/>
      <c r="HGL5" s="2"/>
      <c r="HGN5" s="2"/>
      <c r="HGP5" s="2"/>
      <c r="HGR5" s="2"/>
      <c r="HGT5" s="2"/>
      <c r="HGV5" s="2"/>
      <c r="HGX5" s="2"/>
      <c r="HGZ5" s="2"/>
      <c r="HHB5" s="2"/>
      <c r="HHD5" s="2"/>
      <c r="HHF5" s="2"/>
      <c r="HHH5" s="2"/>
      <c r="HHJ5" s="2"/>
      <c r="HHL5" s="2"/>
      <c r="HHN5" s="2"/>
      <c r="HHP5" s="2"/>
      <c r="HHR5" s="2"/>
      <c r="HHT5" s="2"/>
      <c r="HHV5" s="2"/>
      <c r="HHX5" s="2"/>
      <c r="HHZ5" s="2"/>
      <c r="HIB5" s="2"/>
      <c r="HID5" s="2"/>
      <c r="HIF5" s="2"/>
      <c r="HIH5" s="2"/>
      <c r="HIJ5" s="2"/>
      <c r="HIL5" s="2"/>
      <c r="HIN5" s="2"/>
      <c r="HIP5" s="2"/>
      <c r="HIR5" s="2"/>
      <c r="HIT5" s="2"/>
      <c r="HIV5" s="2"/>
      <c r="HIX5" s="2"/>
      <c r="HIZ5" s="2"/>
      <c r="HJB5" s="2"/>
      <c r="HJD5" s="2"/>
      <c r="HJF5" s="2"/>
      <c r="HJH5" s="2"/>
      <c r="HJJ5" s="2"/>
      <c r="HJL5" s="2"/>
      <c r="HJN5" s="2"/>
      <c r="HJP5" s="2"/>
      <c r="HJR5" s="2"/>
      <c r="HJT5" s="2"/>
      <c r="HJV5" s="2"/>
      <c r="HJX5" s="2"/>
      <c r="HJZ5" s="2"/>
      <c r="HKB5" s="2"/>
      <c r="HKD5" s="2"/>
      <c r="HKF5" s="2"/>
      <c r="HKH5" s="2"/>
      <c r="HKJ5" s="2"/>
      <c r="HKL5" s="2"/>
      <c r="HKN5" s="2"/>
      <c r="HKP5" s="2"/>
      <c r="HKR5" s="2"/>
      <c r="HKT5" s="2"/>
      <c r="HKV5" s="2"/>
      <c r="HKX5" s="2"/>
      <c r="HKZ5" s="2"/>
      <c r="HLB5" s="2"/>
      <c r="HLD5" s="2"/>
      <c r="HLF5" s="2"/>
      <c r="HLH5" s="2"/>
      <c r="HLJ5" s="2"/>
      <c r="HLL5" s="2"/>
      <c r="HLN5" s="2"/>
      <c r="HLP5" s="2"/>
      <c r="HLR5" s="2"/>
      <c r="HLT5" s="2"/>
      <c r="HLV5" s="2"/>
      <c r="HLX5" s="2"/>
      <c r="HLZ5" s="2"/>
      <c r="HMB5" s="2"/>
      <c r="HMD5" s="2"/>
      <c r="HMF5" s="2"/>
      <c r="HMH5" s="2"/>
      <c r="HMJ5" s="2"/>
      <c r="HML5" s="2"/>
      <c r="HMN5" s="2"/>
      <c r="HMP5" s="2"/>
      <c r="HMR5" s="2"/>
      <c r="HMT5" s="2"/>
      <c r="HMV5" s="2"/>
      <c r="HMX5" s="2"/>
      <c r="HMZ5" s="2"/>
      <c r="HNB5" s="2"/>
      <c r="HND5" s="2"/>
      <c r="HNF5" s="2"/>
      <c r="HNH5" s="2"/>
      <c r="HNJ5" s="2"/>
      <c r="HNL5" s="2"/>
      <c r="HNN5" s="2"/>
      <c r="HNP5" s="2"/>
      <c r="HNR5" s="2"/>
      <c r="HNT5" s="2"/>
      <c r="HNV5" s="2"/>
      <c r="HNX5" s="2"/>
      <c r="HNZ5" s="2"/>
      <c r="HOB5" s="2"/>
      <c r="HOD5" s="2"/>
      <c r="HOF5" s="2"/>
      <c r="HOH5" s="2"/>
      <c r="HOJ5" s="2"/>
      <c r="HOL5" s="2"/>
      <c r="HON5" s="2"/>
      <c r="HOP5" s="2"/>
      <c r="HOR5" s="2"/>
      <c r="HOT5" s="2"/>
      <c r="HOV5" s="2"/>
      <c r="HOX5" s="2"/>
      <c r="HOZ5" s="2"/>
      <c r="HPB5" s="2"/>
      <c r="HPD5" s="2"/>
      <c r="HPF5" s="2"/>
      <c r="HPH5" s="2"/>
      <c r="HPJ5" s="2"/>
      <c r="HPL5" s="2"/>
      <c r="HPN5" s="2"/>
      <c r="HPP5" s="2"/>
      <c r="HPR5" s="2"/>
      <c r="HPT5" s="2"/>
      <c r="HPV5" s="2"/>
      <c r="HPX5" s="2"/>
      <c r="HPZ5" s="2"/>
      <c r="HQB5" s="2"/>
      <c r="HQD5" s="2"/>
      <c r="HQF5" s="2"/>
      <c r="HQH5" s="2"/>
      <c r="HQJ5" s="2"/>
      <c r="HQL5" s="2"/>
      <c r="HQN5" s="2"/>
      <c r="HQP5" s="2"/>
      <c r="HQR5" s="2"/>
      <c r="HQT5" s="2"/>
      <c r="HQV5" s="2"/>
      <c r="HQX5" s="2"/>
      <c r="HQZ5" s="2"/>
      <c r="HRB5" s="2"/>
      <c r="HRD5" s="2"/>
      <c r="HRF5" s="2"/>
      <c r="HRH5" s="2"/>
      <c r="HRJ5" s="2"/>
      <c r="HRL5" s="2"/>
      <c r="HRN5" s="2"/>
      <c r="HRP5" s="2"/>
      <c r="HRR5" s="2"/>
      <c r="HRT5" s="2"/>
      <c r="HRV5" s="2"/>
      <c r="HRX5" s="2"/>
      <c r="HRZ5" s="2"/>
      <c r="HSB5" s="2"/>
      <c r="HSD5" s="2"/>
      <c r="HSF5" s="2"/>
      <c r="HSH5" s="2"/>
      <c r="HSJ5" s="2"/>
      <c r="HSL5" s="2"/>
      <c r="HSN5" s="2"/>
      <c r="HSP5" s="2"/>
      <c r="HSR5" s="2"/>
      <c r="HST5" s="2"/>
      <c r="HSV5" s="2"/>
      <c r="HSX5" s="2"/>
      <c r="HSZ5" s="2"/>
      <c r="HTB5" s="2"/>
      <c r="HTD5" s="2"/>
      <c r="HTF5" s="2"/>
      <c r="HTH5" s="2"/>
      <c r="HTJ5" s="2"/>
      <c r="HTL5" s="2"/>
      <c r="HTN5" s="2"/>
      <c r="HTP5" s="2"/>
      <c r="HTR5" s="2"/>
      <c r="HTT5" s="2"/>
      <c r="HTV5" s="2"/>
      <c r="HTX5" s="2"/>
      <c r="HTZ5" s="2"/>
      <c r="HUB5" s="2"/>
      <c r="HUD5" s="2"/>
      <c r="HUF5" s="2"/>
      <c r="HUH5" s="2"/>
      <c r="HUJ5" s="2"/>
      <c r="HUL5" s="2"/>
      <c r="HUN5" s="2"/>
      <c r="HUP5" s="2"/>
      <c r="HUR5" s="2"/>
      <c r="HUT5" s="2"/>
      <c r="HUV5" s="2"/>
      <c r="HUX5" s="2"/>
      <c r="HUZ5" s="2"/>
      <c r="HVB5" s="2"/>
      <c r="HVD5" s="2"/>
      <c r="HVF5" s="2"/>
      <c r="HVH5" s="2"/>
      <c r="HVJ5" s="2"/>
      <c r="HVL5" s="2"/>
      <c r="HVN5" s="2"/>
      <c r="HVP5" s="2"/>
      <c r="HVR5" s="2"/>
      <c r="HVT5" s="2"/>
      <c r="HVV5" s="2"/>
      <c r="HVX5" s="2"/>
      <c r="HVZ5" s="2"/>
      <c r="HWB5" s="2"/>
      <c r="HWD5" s="2"/>
      <c r="HWF5" s="2"/>
      <c r="HWH5" s="2"/>
      <c r="HWJ5" s="2"/>
      <c r="HWL5" s="2"/>
      <c r="HWN5" s="2"/>
      <c r="HWP5" s="2"/>
      <c r="HWR5" s="2"/>
      <c r="HWT5" s="2"/>
      <c r="HWV5" s="2"/>
      <c r="HWX5" s="2"/>
      <c r="HWZ5" s="2"/>
      <c r="HXB5" s="2"/>
      <c r="HXD5" s="2"/>
      <c r="HXF5" s="2"/>
      <c r="HXH5" s="2"/>
      <c r="HXJ5" s="2"/>
      <c r="HXL5" s="2"/>
      <c r="HXN5" s="2"/>
      <c r="HXP5" s="2"/>
      <c r="HXR5" s="2"/>
      <c r="HXT5" s="2"/>
      <c r="HXV5" s="2"/>
      <c r="HXX5" s="2"/>
      <c r="HXZ5" s="2"/>
      <c r="HYB5" s="2"/>
      <c r="HYD5" s="2"/>
      <c r="HYF5" s="2"/>
      <c r="HYH5" s="2"/>
      <c r="HYJ5" s="2"/>
      <c r="HYL5" s="2"/>
      <c r="HYN5" s="2"/>
      <c r="HYP5" s="2"/>
      <c r="HYR5" s="2"/>
      <c r="HYT5" s="2"/>
      <c r="HYV5" s="2"/>
      <c r="HYX5" s="2"/>
      <c r="HYZ5" s="2"/>
      <c r="HZB5" s="2"/>
      <c r="HZD5" s="2"/>
      <c r="HZF5" s="2"/>
      <c r="HZH5" s="2"/>
      <c r="HZJ5" s="2"/>
      <c r="HZL5" s="2"/>
      <c r="HZN5" s="2"/>
      <c r="HZP5" s="2"/>
      <c r="HZR5" s="2"/>
      <c r="HZT5" s="2"/>
      <c r="HZV5" s="2"/>
      <c r="HZX5" s="2"/>
      <c r="HZZ5" s="2"/>
      <c r="IAB5" s="2"/>
      <c r="IAD5" s="2"/>
      <c r="IAF5" s="2"/>
      <c r="IAH5" s="2"/>
      <c r="IAJ5" s="2"/>
      <c r="IAL5" s="2"/>
      <c r="IAN5" s="2"/>
      <c r="IAP5" s="2"/>
      <c r="IAR5" s="2"/>
      <c r="IAT5" s="2"/>
      <c r="IAV5" s="2"/>
      <c r="IAX5" s="2"/>
      <c r="IAZ5" s="2"/>
      <c r="IBB5" s="2"/>
      <c r="IBD5" s="2"/>
      <c r="IBF5" s="2"/>
      <c r="IBH5" s="2"/>
      <c r="IBJ5" s="2"/>
      <c r="IBL5" s="2"/>
      <c r="IBN5" s="2"/>
      <c r="IBP5" s="2"/>
      <c r="IBR5" s="2"/>
      <c r="IBT5" s="2"/>
      <c r="IBV5" s="2"/>
      <c r="IBX5" s="2"/>
      <c r="IBZ5" s="2"/>
      <c r="ICB5" s="2"/>
      <c r="ICD5" s="2"/>
      <c r="ICF5" s="2"/>
      <c r="ICH5" s="2"/>
      <c r="ICJ5" s="2"/>
      <c r="ICL5" s="2"/>
      <c r="ICN5" s="2"/>
      <c r="ICP5" s="2"/>
      <c r="ICR5" s="2"/>
      <c r="ICT5" s="2"/>
      <c r="ICV5" s="2"/>
      <c r="ICX5" s="2"/>
      <c r="ICZ5" s="2"/>
      <c r="IDB5" s="2"/>
      <c r="IDD5" s="2"/>
      <c r="IDF5" s="2"/>
      <c r="IDH5" s="2"/>
      <c r="IDJ5" s="2"/>
      <c r="IDL5" s="2"/>
      <c r="IDN5" s="2"/>
      <c r="IDP5" s="2"/>
      <c r="IDR5" s="2"/>
      <c r="IDT5" s="2"/>
      <c r="IDV5" s="2"/>
      <c r="IDX5" s="2"/>
      <c r="IDZ5" s="2"/>
      <c r="IEB5" s="2"/>
      <c r="IED5" s="2"/>
      <c r="IEF5" s="2"/>
      <c r="IEH5" s="2"/>
      <c r="IEJ5" s="2"/>
      <c r="IEL5" s="2"/>
      <c r="IEN5" s="2"/>
      <c r="IEP5" s="2"/>
      <c r="IER5" s="2"/>
      <c r="IET5" s="2"/>
      <c r="IEV5" s="2"/>
      <c r="IEX5" s="2"/>
      <c r="IEZ5" s="2"/>
      <c r="IFB5" s="2"/>
      <c r="IFD5" s="2"/>
      <c r="IFF5" s="2"/>
      <c r="IFH5" s="2"/>
      <c r="IFJ5" s="2"/>
      <c r="IFL5" s="2"/>
      <c r="IFN5" s="2"/>
      <c r="IFP5" s="2"/>
      <c r="IFR5" s="2"/>
      <c r="IFT5" s="2"/>
      <c r="IFV5" s="2"/>
      <c r="IFX5" s="2"/>
      <c r="IFZ5" s="2"/>
      <c r="IGB5" s="2"/>
      <c r="IGD5" s="2"/>
      <c r="IGF5" s="2"/>
      <c r="IGH5" s="2"/>
      <c r="IGJ5" s="2"/>
      <c r="IGL5" s="2"/>
      <c r="IGN5" s="2"/>
      <c r="IGP5" s="2"/>
      <c r="IGR5" s="2"/>
      <c r="IGT5" s="2"/>
      <c r="IGV5" s="2"/>
      <c r="IGX5" s="2"/>
      <c r="IGZ5" s="2"/>
      <c r="IHB5" s="2"/>
      <c r="IHD5" s="2"/>
      <c r="IHF5" s="2"/>
      <c r="IHH5" s="2"/>
      <c r="IHJ5" s="2"/>
      <c r="IHL5" s="2"/>
      <c r="IHN5" s="2"/>
      <c r="IHP5" s="2"/>
      <c r="IHR5" s="2"/>
      <c r="IHT5" s="2"/>
      <c r="IHV5" s="2"/>
      <c r="IHX5" s="2"/>
      <c r="IHZ5" s="2"/>
      <c r="IIB5" s="2"/>
      <c r="IID5" s="2"/>
      <c r="IIF5" s="2"/>
      <c r="IIH5" s="2"/>
      <c r="IIJ5" s="2"/>
      <c r="IIL5" s="2"/>
      <c r="IIN5" s="2"/>
      <c r="IIP5" s="2"/>
      <c r="IIR5" s="2"/>
      <c r="IIT5" s="2"/>
      <c r="IIV5" s="2"/>
      <c r="IIX5" s="2"/>
      <c r="IIZ5" s="2"/>
      <c r="IJB5" s="2"/>
      <c r="IJD5" s="2"/>
      <c r="IJF5" s="2"/>
      <c r="IJH5" s="2"/>
      <c r="IJJ5" s="2"/>
      <c r="IJL5" s="2"/>
      <c r="IJN5" s="2"/>
      <c r="IJP5" s="2"/>
      <c r="IJR5" s="2"/>
      <c r="IJT5" s="2"/>
      <c r="IJV5" s="2"/>
      <c r="IJX5" s="2"/>
      <c r="IJZ5" s="2"/>
      <c r="IKB5" s="2"/>
      <c r="IKD5" s="2"/>
      <c r="IKF5" s="2"/>
      <c r="IKH5" s="2"/>
      <c r="IKJ5" s="2"/>
      <c r="IKL5" s="2"/>
      <c r="IKN5" s="2"/>
      <c r="IKP5" s="2"/>
      <c r="IKR5" s="2"/>
      <c r="IKT5" s="2"/>
      <c r="IKV5" s="2"/>
      <c r="IKX5" s="2"/>
      <c r="IKZ5" s="2"/>
      <c r="ILB5" s="2"/>
      <c r="ILD5" s="2"/>
      <c r="ILF5" s="2"/>
      <c r="ILH5" s="2"/>
      <c r="ILJ5" s="2"/>
      <c r="ILL5" s="2"/>
      <c r="ILN5" s="2"/>
      <c r="ILP5" s="2"/>
      <c r="ILR5" s="2"/>
      <c r="ILT5" s="2"/>
      <c r="ILV5" s="2"/>
      <c r="ILX5" s="2"/>
      <c r="ILZ5" s="2"/>
      <c r="IMB5" s="2"/>
      <c r="IMD5" s="2"/>
      <c r="IMF5" s="2"/>
      <c r="IMH5" s="2"/>
      <c r="IMJ5" s="2"/>
      <c r="IML5" s="2"/>
      <c r="IMN5" s="2"/>
      <c r="IMP5" s="2"/>
      <c r="IMR5" s="2"/>
      <c r="IMT5" s="2"/>
      <c r="IMV5" s="2"/>
      <c r="IMX5" s="2"/>
      <c r="IMZ5" s="2"/>
      <c r="INB5" s="2"/>
      <c r="IND5" s="2"/>
      <c r="INF5" s="2"/>
      <c r="INH5" s="2"/>
      <c r="INJ5" s="2"/>
      <c r="INL5" s="2"/>
      <c r="INN5" s="2"/>
      <c r="INP5" s="2"/>
      <c r="INR5" s="2"/>
      <c r="INT5" s="2"/>
      <c r="INV5" s="2"/>
      <c r="INX5" s="2"/>
      <c r="INZ5" s="2"/>
      <c r="IOB5" s="2"/>
      <c r="IOD5" s="2"/>
      <c r="IOF5" s="2"/>
      <c r="IOH5" s="2"/>
      <c r="IOJ5" s="2"/>
      <c r="IOL5" s="2"/>
      <c r="ION5" s="2"/>
      <c r="IOP5" s="2"/>
      <c r="IOR5" s="2"/>
      <c r="IOT5" s="2"/>
      <c r="IOV5" s="2"/>
      <c r="IOX5" s="2"/>
      <c r="IOZ5" s="2"/>
      <c r="IPB5" s="2"/>
      <c r="IPD5" s="2"/>
      <c r="IPF5" s="2"/>
      <c r="IPH5" s="2"/>
      <c r="IPJ5" s="2"/>
      <c r="IPL5" s="2"/>
      <c r="IPN5" s="2"/>
      <c r="IPP5" s="2"/>
      <c r="IPR5" s="2"/>
      <c r="IPT5" s="2"/>
      <c r="IPV5" s="2"/>
      <c r="IPX5" s="2"/>
      <c r="IPZ5" s="2"/>
      <c r="IQB5" s="2"/>
      <c r="IQD5" s="2"/>
      <c r="IQF5" s="2"/>
      <c r="IQH5" s="2"/>
      <c r="IQJ5" s="2"/>
      <c r="IQL5" s="2"/>
      <c r="IQN5" s="2"/>
      <c r="IQP5" s="2"/>
      <c r="IQR5" s="2"/>
      <c r="IQT5" s="2"/>
      <c r="IQV5" s="2"/>
      <c r="IQX5" s="2"/>
      <c r="IQZ5" s="2"/>
      <c r="IRB5" s="2"/>
      <c r="IRD5" s="2"/>
      <c r="IRF5" s="2"/>
      <c r="IRH5" s="2"/>
      <c r="IRJ5" s="2"/>
      <c r="IRL5" s="2"/>
      <c r="IRN5" s="2"/>
      <c r="IRP5" s="2"/>
      <c r="IRR5" s="2"/>
      <c r="IRT5" s="2"/>
      <c r="IRV5" s="2"/>
      <c r="IRX5" s="2"/>
      <c r="IRZ5" s="2"/>
      <c r="ISB5" s="2"/>
      <c r="ISD5" s="2"/>
      <c r="ISF5" s="2"/>
      <c r="ISH5" s="2"/>
      <c r="ISJ5" s="2"/>
      <c r="ISL5" s="2"/>
      <c r="ISN5" s="2"/>
      <c r="ISP5" s="2"/>
      <c r="ISR5" s="2"/>
      <c r="IST5" s="2"/>
      <c r="ISV5" s="2"/>
      <c r="ISX5" s="2"/>
      <c r="ISZ5" s="2"/>
      <c r="ITB5" s="2"/>
      <c r="ITD5" s="2"/>
      <c r="ITF5" s="2"/>
      <c r="ITH5" s="2"/>
      <c r="ITJ5" s="2"/>
      <c r="ITL5" s="2"/>
      <c r="ITN5" s="2"/>
      <c r="ITP5" s="2"/>
      <c r="ITR5" s="2"/>
      <c r="ITT5" s="2"/>
      <c r="ITV5" s="2"/>
      <c r="ITX5" s="2"/>
      <c r="ITZ5" s="2"/>
      <c r="IUB5" s="2"/>
      <c r="IUD5" s="2"/>
      <c r="IUF5" s="2"/>
      <c r="IUH5" s="2"/>
      <c r="IUJ5" s="2"/>
      <c r="IUL5" s="2"/>
      <c r="IUN5" s="2"/>
      <c r="IUP5" s="2"/>
      <c r="IUR5" s="2"/>
      <c r="IUT5" s="2"/>
      <c r="IUV5" s="2"/>
      <c r="IUX5" s="2"/>
      <c r="IUZ5" s="2"/>
      <c r="IVB5" s="2"/>
      <c r="IVD5" s="2"/>
      <c r="IVF5" s="2"/>
      <c r="IVH5" s="2"/>
      <c r="IVJ5" s="2"/>
      <c r="IVL5" s="2"/>
      <c r="IVN5" s="2"/>
      <c r="IVP5" s="2"/>
      <c r="IVR5" s="2"/>
      <c r="IVT5" s="2"/>
      <c r="IVV5" s="2"/>
      <c r="IVX5" s="2"/>
      <c r="IVZ5" s="2"/>
      <c r="IWB5" s="2"/>
      <c r="IWD5" s="2"/>
      <c r="IWF5" s="2"/>
      <c r="IWH5" s="2"/>
      <c r="IWJ5" s="2"/>
      <c r="IWL5" s="2"/>
      <c r="IWN5" s="2"/>
      <c r="IWP5" s="2"/>
      <c r="IWR5" s="2"/>
      <c r="IWT5" s="2"/>
      <c r="IWV5" s="2"/>
      <c r="IWX5" s="2"/>
      <c r="IWZ5" s="2"/>
      <c r="IXB5" s="2"/>
      <c r="IXD5" s="2"/>
      <c r="IXF5" s="2"/>
      <c r="IXH5" s="2"/>
      <c r="IXJ5" s="2"/>
      <c r="IXL5" s="2"/>
      <c r="IXN5" s="2"/>
      <c r="IXP5" s="2"/>
      <c r="IXR5" s="2"/>
      <c r="IXT5" s="2"/>
      <c r="IXV5" s="2"/>
      <c r="IXX5" s="2"/>
      <c r="IXZ5" s="2"/>
      <c r="IYB5" s="2"/>
      <c r="IYD5" s="2"/>
      <c r="IYF5" s="2"/>
      <c r="IYH5" s="2"/>
      <c r="IYJ5" s="2"/>
      <c r="IYL5" s="2"/>
      <c r="IYN5" s="2"/>
      <c r="IYP5" s="2"/>
      <c r="IYR5" s="2"/>
      <c r="IYT5" s="2"/>
      <c r="IYV5" s="2"/>
      <c r="IYX5" s="2"/>
      <c r="IYZ5" s="2"/>
      <c r="IZB5" s="2"/>
      <c r="IZD5" s="2"/>
      <c r="IZF5" s="2"/>
      <c r="IZH5" s="2"/>
      <c r="IZJ5" s="2"/>
      <c r="IZL5" s="2"/>
      <c r="IZN5" s="2"/>
      <c r="IZP5" s="2"/>
      <c r="IZR5" s="2"/>
      <c r="IZT5" s="2"/>
      <c r="IZV5" s="2"/>
      <c r="IZX5" s="2"/>
      <c r="IZZ5" s="2"/>
      <c r="JAB5" s="2"/>
      <c r="JAD5" s="2"/>
      <c r="JAF5" s="2"/>
      <c r="JAH5" s="2"/>
      <c r="JAJ5" s="2"/>
      <c r="JAL5" s="2"/>
      <c r="JAN5" s="2"/>
      <c r="JAP5" s="2"/>
      <c r="JAR5" s="2"/>
      <c r="JAT5" s="2"/>
      <c r="JAV5" s="2"/>
      <c r="JAX5" s="2"/>
      <c r="JAZ5" s="2"/>
      <c r="JBB5" s="2"/>
      <c r="JBD5" s="2"/>
      <c r="JBF5" s="2"/>
      <c r="JBH5" s="2"/>
      <c r="JBJ5" s="2"/>
      <c r="JBL5" s="2"/>
      <c r="JBN5" s="2"/>
      <c r="JBP5" s="2"/>
      <c r="JBR5" s="2"/>
      <c r="JBT5" s="2"/>
      <c r="JBV5" s="2"/>
      <c r="JBX5" s="2"/>
      <c r="JBZ5" s="2"/>
      <c r="JCB5" s="2"/>
      <c r="JCD5" s="2"/>
      <c r="JCF5" s="2"/>
      <c r="JCH5" s="2"/>
      <c r="JCJ5" s="2"/>
      <c r="JCL5" s="2"/>
      <c r="JCN5" s="2"/>
      <c r="JCP5" s="2"/>
      <c r="JCR5" s="2"/>
      <c r="JCT5" s="2"/>
      <c r="JCV5" s="2"/>
      <c r="JCX5" s="2"/>
      <c r="JCZ5" s="2"/>
      <c r="JDB5" s="2"/>
      <c r="JDD5" s="2"/>
      <c r="JDF5" s="2"/>
      <c r="JDH5" s="2"/>
      <c r="JDJ5" s="2"/>
      <c r="JDL5" s="2"/>
      <c r="JDN5" s="2"/>
      <c r="JDP5" s="2"/>
      <c r="JDR5" s="2"/>
      <c r="JDT5" s="2"/>
      <c r="JDV5" s="2"/>
      <c r="JDX5" s="2"/>
      <c r="JDZ5" s="2"/>
      <c r="JEB5" s="2"/>
      <c r="JED5" s="2"/>
      <c r="JEF5" s="2"/>
      <c r="JEH5" s="2"/>
      <c r="JEJ5" s="2"/>
      <c r="JEL5" s="2"/>
      <c r="JEN5" s="2"/>
      <c r="JEP5" s="2"/>
      <c r="JER5" s="2"/>
      <c r="JET5" s="2"/>
      <c r="JEV5" s="2"/>
      <c r="JEX5" s="2"/>
      <c r="JEZ5" s="2"/>
      <c r="JFB5" s="2"/>
      <c r="JFD5" s="2"/>
      <c r="JFF5" s="2"/>
      <c r="JFH5" s="2"/>
      <c r="JFJ5" s="2"/>
      <c r="JFL5" s="2"/>
      <c r="JFN5" s="2"/>
      <c r="JFP5" s="2"/>
      <c r="JFR5" s="2"/>
      <c r="JFT5" s="2"/>
      <c r="JFV5" s="2"/>
      <c r="JFX5" s="2"/>
      <c r="JFZ5" s="2"/>
      <c r="JGB5" s="2"/>
      <c r="JGD5" s="2"/>
      <c r="JGF5" s="2"/>
      <c r="JGH5" s="2"/>
      <c r="JGJ5" s="2"/>
      <c r="JGL5" s="2"/>
      <c r="JGN5" s="2"/>
      <c r="JGP5" s="2"/>
      <c r="JGR5" s="2"/>
      <c r="JGT5" s="2"/>
      <c r="JGV5" s="2"/>
      <c r="JGX5" s="2"/>
      <c r="JGZ5" s="2"/>
      <c r="JHB5" s="2"/>
      <c r="JHD5" s="2"/>
      <c r="JHF5" s="2"/>
      <c r="JHH5" s="2"/>
      <c r="JHJ5" s="2"/>
      <c r="JHL5" s="2"/>
      <c r="JHN5" s="2"/>
      <c r="JHP5" s="2"/>
      <c r="JHR5" s="2"/>
      <c r="JHT5" s="2"/>
      <c r="JHV5" s="2"/>
      <c r="JHX5" s="2"/>
      <c r="JHZ5" s="2"/>
      <c r="JIB5" s="2"/>
      <c r="JID5" s="2"/>
      <c r="JIF5" s="2"/>
      <c r="JIH5" s="2"/>
      <c r="JIJ5" s="2"/>
      <c r="JIL5" s="2"/>
      <c r="JIN5" s="2"/>
      <c r="JIP5" s="2"/>
      <c r="JIR5" s="2"/>
      <c r="JIT5" s="2"/>
      <c r="JIV5" s="2"/>
      <c r="JIX5" s="2"/>
      <c r="JIZ5" s="2"/>
      <c r="JJB5" s="2"/>
      <c r="JJD5" s="2"/>
      <c r="JJF5" s="2"/>
      <c r="JJH5" s="2"/>
      <c r="JJJ5" s="2"/>
      <c r="JJL5" s="2"/>
      <c r="JJN5" s="2"/>
      <c r="JJP5" s="2"/>
      <c r="JJR5" s="2"/>
      <c r="JJT5" s="2"/>
      <c r="JJV5" s="2"/>
      <c r="JJX5" s="2"/>
      <c r="JJZ5" s="2"/>
      <c r="JKB5" s="2"/>
      <c r="JKD5" s="2"/>
      <c r="JKF5" s="2"/>
      <c r="JKH5" s="2"/>
      <c r="JKJ5" s="2"/>
      <c r="JKL5" s="2"/>
      <c r="JKN5" s="2"/>
      <c r="JKP5" s="2"/>
      <c r="JKR5" s="2"/>
      <c r="JKT5" s="2"/>
      <c r="JKV5" s="2"/>
      <c r="JKX5" s="2"/>
      <c r="JKZ5" s="2"/>
      <c r="JLB5" s="2"/>
      <c r="JLD5" s="2"/>
      <c r="JLF5" s="2"/>
      <c r="JLH5" s="2"/>
      <c r="JLJ5" s="2"/>
      <c r="JLL5" s="2"/>
      <c r="JLN5" s="2"/>
      <c r="JLP5" s="2"/>
      <c r="JLR5" s="2"/>
      <c r="JLT5" s="2"/>
      <c r="JLV5" s="2"/>
      <c r="JLX5" s="2"/>
      <c r="JLZ5" s="2"/>
      <c r="JMB5" s="2"/>
      <c r="JMD5" s="2"/>
      <c r="JMF5" s="2"/>
      <c r="JMH5" s="2"/>
      <c r="JMJ5" s="2"/>
      <c r="JML5" s="2"/>
      <c r="JMN5" s="2"/>
      <c r="JMP5" s="2"/>
      <c r="JMR5" s="2"/>
      <c r="JMT5" s="2"/>
      <c r="JMV5" s="2"/>
      <c r="JMX5" s="2"/>
      <c r="JMZ5" s="2"/>
      <c r="JNB5" s="2"/>
      <c r="JND5" s="2"/>
      <c r="JNF5" s="2"/>
      <c r="JNH5" s="2"/>
      <c r="JNJ5" s="2"/>
      <c r="JNL5" s="2"/>
      <c r="JNN5" s="2"/>
      <c r="JNP5" s="2"/>
      <c r="JNR5" s="2"/>
      <c r="JNT5" s="2"/>
      <c r="JNV5" s="2"/>
      <c r="JNX5" s="2"/>
      <c r="JNZ5" s="2"/>
      <c r="JOB5" s="2"/>
      <c r="JOD5" s="2"/>
      <c r="JOF5" s="2"/>
      <c r="JOH5" s="2"/>
      <c r="JOJ5" s="2"/>
      <c r="JOL5" s="2"/>
      <c r="JON5" s="2"/>
      <c r="JOP5" s="2"/>
      <c r="JOR5" s="2"/>
      <c r="JOT5" s="2"/>
      <c r="JOV5" s="2"/>
      <c r="JOX5" s="2"/>
      <c r="JOZ5" s="2"/>
      <c r="JPB5" s="2"/>
      <c r="JPD5" s="2"/>
      <c r="JPF5" s="2"/>
      <c r="JPH5" s="2"/>
      <c r="JPJ5" s="2"/>
      <c r="JPL5" s="2"/>
      <c r="JPN5" s="2"/>
      <c r="JPP5" s="2"/>
      <c r="JPR5" s="2"/>
      <c r="JPT5" s="2"/>
      <c r="JPV5" s="2"/>
      <c r="JPX5" s="2"/>
      <c r="JPZ5" s="2"/>
      <c r="JQB5" s="2"/>
      <c r="JQD5" s="2"/>
      <c r="JQF5" s="2"/>
      <c r="JQH5" s="2"/>
      <c r="JQJ5" s="2"/>
      <c r="JQL5" s="2"/>
      <c r="JQN5" s="2"/>
      <c r="JQP5" s="2"/>
      <c r="JQR5" s="2"/>
      <c r="JQT5" s="2"/>
      <c r="JQV5" s="2"/>
      <c r="JQX5" s="2"/>
      <c r="JQZ5" s="2"/>
      <c r="JRB5" s="2"/>
      <c r="JRD5" s="2"/>
      <c r="JRF5" s="2"/>
      <c r="JRH5" s="2"/>
      <c r="JRJ5" s="2"/>
      <c r="JRL5" s="2"/>
      <c r="JRN5" s="2"/>
      <c r="JRP5" s="2"/>
      <c r="JRR5" s="2"/>
      <c r="JRT5" s="2"/>
      <c r="JRV5" s="2"/>
      <c r="JRX5" s="2"/>
      <c r="JRZ5" s="2"/>
      <c r="JSB5" s="2"/>
      <c r="JSD5" s="2"/>
      <c r="JSF5" s="2"/>
      <c r="JSH5" s="2"/>
      <c r="JSJ5" s="2"/>
      <c r="JSL5" s="2"/>
      <c r="JSN5" s="2"/>
      <c r="JSP5" s="2"/>
      <c r="JSR5" s="2"/>
      <c r="JST5" s="2"/>
      <c r="JSV5" s="2"/>
      <c r="JSX5" s="2"/>
      <c r="JSZ5" s="2"/>
      <c r="JTB5" s="2"/>
      <c r="JTD5" s="2"/>
      <c r="JTF5" s="2"/>
      <c r="JTH5" s="2"/>
      <c r="JTJ5" s="2"/>
      <c r="JTL5" s="2"/>
      <c r="JTN5" s="2"/>
      <c r="JTP5" s="2"/>
      <c r="JTR5" s="2"/>
      <c r="JTT5" s="2"/>
      <c r="JTV5" s="2"/>
      <c r="JTX5" s="2"/>
      <c r="JTZ5" s="2"/>
      <c r="JUB5" s="2"/>
      <c r="JUD5" s="2"/>
      <c r="JUF5" s="2"/>
      <c r="JUH5" s="2"/>
      <c r="JUJ5" s="2"/>
      <c r="JUL5" s="2"/>
      <c r="JUN5" s="2"/>
      <c r="JUP5" s="2"/>
      <c r="JUR5" s="2"/>
      <c r="JUT5" s="2"/>
      <c r="JUV5" s="2"/>
      <c r="JUX5" s="2"/>
      <c r="JUZ5" s="2"/>
      <c r="JVB5" s="2"/>
      <c r="JVD5" s="2"/>
      <c r="JVF5" s="2"/>
      <c r="JVH5" s="2"/>
      <c r="JVJ5" s="2"/>
      <c r="JVL5" s="2"/>
      <c r="JVN5" s="2"/>
      <c r="JVP5" s="2"/>
      <c r="JVR5" s="2"/>
      <c r="JVT5" s="2"/>
      <c r="JVV5" s="2"/>
      <c r="JVX5" s="2"/>
      <c r="JVZ5" s="2"/>
      <c r="JWB5" s="2"/>
      <c r="JWD5" s="2"/>
      <c r="JWF5" s="2"/>
      <c r="JWH5" s="2"/>
      <c r="JWJ5" s="2"/>
      <c r="JWL5" s="2"/>
      <c r="JWN5" s="2"/>
      <c r="JWP5" s="2"/>
      <c r="JWR5" s="2"/>
      <c r="JWT5" s="2"/>
      <c r="JWV5" s="2"/>
      <c r="JWX5" s="2"/>
      <c r="JWZ5" s="2"/>
      <c r="JXB5" s="2"/>
      <c r="JXD5" s="2"/>
      <c r="JXF5" s="2"/>
      <c r="JXH5" s="2"/>
      <c r="JXJ5" s="2"/>
      <c r="JXL5" s="2"/>
      <c r="JXN5" s="2"/>
      <c r="JXP5" s="2"/>
      <c r="JXR5" s="2"/>
      <c r="JXT5" s="2"/>
      <c r="JXV5" s="2"/>
      <c r="JXX5" s="2"/>
      <c r="JXZ5" s="2"/>
      <c r="JYB5" s="2"/>
      <c r="JYD5" s="2"/>
      <c r="JYF5" s="2"/>
      <c r="JYH5" s="2"/>
      <c r="JYJ5" s="2"/>
      <c r="JYL5" s="2"/>
      <c r="JYN5" s="2"/>
      <c r="JYP5" s="2"/>
      <c r="JYR5" s="2"/>
      <c r="JYT5" s="2"/>
      <c r="JYV5" s="2"/>
      <c r="JYX5" s="2"/>
      <c r="JYZ5" s="2"/>
      <c r="JZB5" s="2"/>
      <c r="JZD5" s="2"/>
      <c r="JZF5" s="2"/>
      <c r="JZH5" s="2"/>
      <c r="JZJ5" s="2"/>
      <c r="JZL5" s="2"/>
      <c r="JZN5" s="2"/>
      <c r="JZP5" s="2"/>
      <c r="JZR5" s="2"/>
      <c r="JZT5" s="2"/>
      <c r="JZV5" s="2"/>
      <c r="JZX5" s="2"/>
      <c r="JZZ5" s="2"/>
      <c r="KAB5" s="2"/>
      <c r="KAD5" s="2"/>
      <c r="KAF5" s="2"/>
      <c r="KAH5" s="2"/>
      <c r="KAJ5" s="2"/>
      <c r="KAL5" s="2"/>
      <c r="KAN5" s="2"/>
      <c r="KAP5" s="2"/>
      <c r="KAR5" s="2"/>
      <c r="KAT5" s="2"/>
      <c r="KAV5" s="2"/>
      <c r="KAX5" s="2"/>
      <c r="KAZ5" s="2"/>
      <c r="KBB5" s="2"/>
      <c r="KBD5" s="2"/>
      <c r="KBF5" s="2"/>
      <c r="KBH5" s="2"/>
      <c r="KBJ5" s="2"/>
      <c r="KBL5" s="2"/>
      <c r="KBN5" s="2"/>
      <c r="KBP5" s="2"/>
      <c r="KBR5" s="2"/>
      <c r="KBT5" s="2"/>
      <c r="KBV5" s="2"/>
      <c r="KBX5" s="2"/>
      <c r="KBZ5" s="2"/>
      <c r="KCB5" s="2"/>
      <c r="KCD5" s="2"/>
      <c r="KCF5" s="2"/>
      <c r="KCH5" s="2"/>
      <c r="KCJ5" s="2"/>
      <c r="KCL5" s="2"/>
      <c r="KCN5" s="2"/>
      <c r="KCP5" s="2"/>
      <c r="KCR5" s="2"/>
      <c r="KCT5" s="2"/>
      <c r="KCV5" s="2"/>
      <c r="KCX5" s="2"/>
      <c r="KCZ5" s="2"/>
      <c r="KDB5" s="2"/>
      <c r="KDD5" s="2"/>
      <c r="KDF5" s="2"/>
      <c r="KDH5" s="2"/>
      <c r="KDJ5" s="2"/>
      <c r="KDL5" s="2"/>
      <c r="KDN5" s="2"/>
      <c r="KDP5" s="2"/>
      <c r="KDR5" s="2"/>
      <c r="KDT5" s="2"/>
      <c r="KDV5" s="2"/>
      <c r="KDX5" s="2"/>
      <c r="KDZ5" s="2"/>
      <c r="KEB5" s="2"/>
      <c r="KED5" s="2"/>
      <c r="KEF5" s="2"/>
      <c r="KEH5" s="2"/>
      <c r="KEJ5" s="2"/>
      <c r="KEL5" s="2"/>
      <c r="KEN5" s="2"/>
      <c r="KEP5" s="2"/>
      <c r="KER5" s="2"/>
      <c r="KET5" s="2"/>
      <c r="KEV5" s="2"/>
      <c r="KEX5" s="2"/>
      <c r="KEZ5" s="2"/>
      <c r="KFB5" s="2"/>
      <c r="KFD5" s="2"/>
      <c r="KFF5" s="2"/>
      <c r="KFH5" s="2"/>
      <c r="KFJ5" s="2"/>
      <c r="KFL5" s="2"/>
      <c r="KFN5" s="2"/>
      <c r="KFP5" s="2"/>
      <c r="KFR5" s="2"/>
      <c r="KFT5" s="2"/>
      <c r="KFV5" s="2"/>
      <c r="KFX5" s="2"/>
      <c r="KFZ5" s="2"/>
      <c r="KGB5" s="2"/>
      <c r="KGD5" s="2"/>
      <c r="KGF5" s="2"/>
      <c r="KGH5" s="2"/>
      <c r="KGJ5" s="2"/>
      <c r="KGL5" s="2"/>
      <c r="KGN5" s="2"/>
      <c r="KGP5" s="2"/>
      <c r="KGR5" s="2"/>
      <c r="KGT5" s="2"/>
      <c r="KGV5" s="2"/>
      <c r="KGX5" s="2"/>
      <c r="KGZ5" s="2"/>
      <c r="KHB5" s="2"/>
      <c r="KHD5" s="2"/>
      <c r="KHF5" s="2"/>
      <c r="KHH5" s="2"/>
      <c r="KHJ5" s="2"/>
      <c r="KHL5" s="2"/>
      <c r="KHN5" s="2"/>
      <c r="KHP5" s="2"/>
      <c r="KHR5" s="2"/>
      <c r="KHT5" s="2"/>
      <c r="KHV5" s="2"/>
      <c r="KHX5" s="2"/>
      <c r="KHZ5" s="2"/>
      <c r="KIB5" s="2"/>
      <c r="KID5" s="2"/>
      <c r="KIF5" s="2"/>
      <c r="KIH5" s="2"/>
      <c r="KIJ5" s="2"/>
      <c r="KIL5" s="2"/>
      <c r="KIN5" s="2"/>
      <c r="KIP5" s="2"/>
      <c r="KIR5" s="2"/>
      <c r="KIT5" s="2"/>
      <c r="KIV5" s="2"/>
      <c r="KIX5" s="2"/>
      <c r="KIZ5" s="2"/>
      <c r="KJB5" s="2"/>
      <c r="KJD5" s="2"/>
      <c r="KJF5" s="2"/>
      <c r="KJH5" s="2"/>
      <c r="KJJ5" s="2"/>
      <c r="KJL5" s="2"/>
      <c r="KJN5" s="2"/>
      <c r="KJP5" s="2"/>
      <c r="KJR5" s="2"/>
      <c r="KJT5" s="2"/>
      <c r="KJV5" s="2"/>
      <c r="KJX5" s="2"/>
      <c r="KJZ5" s="2"/>
      <c r="KKB5" s="2"/>
      <c r="KKD5" s="2"/>
      <c r="KKF5" s="2"/>
      <c r="KKH5" s="2"/>
      <c r="KKJ5" s="2"/>
      <c r="KKL5" s="2"/>
      <c r="KKN5" s="2"/>
      <c r="KKP5" s="2"/>
      <c r="KKR5" s="2"/>
      <c r="KKT5" s="2"/>
      <c r="KKV5" s="2"/>
      <c r="KKX5" s="2"/>
      <c r="KKZ5" s="2"/>
      <c r="KLB5" s="2"/>
      <c r="KLD5" s="2"/>
      <c r="KLF5" s="2"/>
      <c r="KLH5" s="2"/>
      <c r="KLJ5" s="2"/>
      <c r="KLL5" s="2"/>
      <c r="KLN5" s="2"/>
      <c r="KLP5" s="2"/>
      <c r="KLR5" s="2"/>
      <c r="KLT5" s="2"/>
      <c r="KLV5" s="2"/>
      <c r="KLX5" s="2"/>
      <c r="KLZ5" s="2"/>
      <c r="KMB5" s="2"/>
      <c r="KMD5" s="2"/>
      <c r="KMF5" s="2"/>
      <c r="KMH5" s="2"/>
      <c r="KMJ5" s="2"/>
      <c r="KML5" s="2"/>
      <c r="KMN5" s="2"/>
      <c r="KMP5" s="2"/>
      <c r="KMR5" s="2"/>
      <c r="KMT5" s="2"/>
      <c r="KMV5" s="2"/>
      <c r="KMX5" s="2"/>
      <c r="KMZ5" s="2"/>
      <c r="KNB5" s="2"/>
      <c r="KND5" s="2"/>
      <c r="KNF5" s="2"/>
      <c r="KNH5" s="2"/>
      <c r="KNJ5" s="2"/>
      <c r="KNL5" s="2"/>
      <c r="KNN5" s="2"/>
      <c r="KNP5" s="2"/>
      <c r="KNR5" s="2"/>
      <c r="KNT5" s="2"/>
      <c r="KNV5" s="2"/>
      <c r="KNX5" s="2"/>
      <c r="KNZ5" s="2"/>
      <c r="KOB5" s="2"/>
      <c r="KOD5" s="2"/>
      <c r="KOF5" s="2"/>
      <c r="KOH5" s="2"/>
      <c r="KOJ5" s="2"/>
      <c r="KOL5" s="2"/>
      <c r="KON5" s="2"/>
      <c r="KOP5" s="2"/>
      <c r="KOR5" s="2"/>
      <c r="KOT5" s="2"/>
      <c r="KOV5" s="2"/>
      <c r="KOX5" s="2"/>
      <c r="KOZ5" s="2"/>
      <c r="KPB5" s="2"/>
      <c r="KPD5" s="2"/>
      <c r="KPF5" s="2"/>
      <c r="KPH5" s="2"/>
      <c r="KPJ5" s="2"/>
      <c r="KPL5" s="2"/>
      <c r="KPN5" s="2"/>
      <c r="KPP5" s="2"/>
      <c r="KPR5" s="2"/>
      <c r="KPT5" s="2"/>
      <c r="KPV5" s="2"/>
      <c r="KPX5" s="2"/>
      <c r="KPZ5" s="2"/>
      <c r="KQB5" s="2"/>
      <c r="KQD5" s="2"/>
      <c r="KQF5" s="2"/>
      <c r="KQH5" s="2"/>
      <c r="KQJ5" s="2"/>
      <c r="KQL5" s="2"/>
      <c r="KQN5" s="2"/>
      <c r="KQP5" s="2"/>
      <c r="KQR5" s="2"/>
      <c r="KQT5" s="2"/>
      <c r="KQV5" s="2"/>
      <c r="KQX5" s="2"/>
      <c r="KQZ5" s="2"/>
      <c r="KRB5" s="2"/>
      <c r="KRD5" s="2"/>
      <c r="KRF5" s="2"/>
      <c r="KRH5" s="2"/>
      <c r="KRJ5" s="2"/>
      <c r="KRL5" s="2"/>
      <c r="KRN5" s="2"/>
      <c r="KRP5" s="2"/>
      <c r="KRR5" s="2"/>
      <c r="KRT5" s="2"/>
      <c r="KRV5" s="2"/>
      <c r="KRX5" s="2"/>
      <c r="KRZ5" s="2"/>
      <c r="KSB5" s="2"/>
      <c r="KSD5" s="2"/>
      <c r="KSF5" s="2"/>
      <c r="KSH5" s="2"/>
      <c r="KSJ5" s="2"/>
      <c r="KSL5" s="2"/>
      <c r="KSN5" s="2"/>
      <c r="KSP5" s="2"/>
      <c r="KSR5" s="2"/>
      <c r="KST5" s="2"/>
      <c r="KSV5" s="2"/>
      <c r="KSX5" s="2"/>
      <c r="KSZ5" s="2"/>
      <c r="KTB5" s="2"/>
      <c r="KTD5" s="2"/>
      <c r="KTF5" s="2"/>
      <c r="KTH5" s="2"/>
      <c r="KTJ5" s="2"/>
      <c r="KTL5" s="2"/>
      <c r="KTN5" s="2"/>
      <c r="KTP5" s="2"/>
      <c r="KTR5" s="2"/>
      <c r="KTT5" s="2"/>
      <c r="KTV5" s="2"/>
      <c r="KTX5" s="2"/>
      <c r="KTZ5" s="2"/>
      <c r="KUB5" s="2"/>
      <c r="KUD5" s="2"/>
      <c r="KUF5" s="2"/>
      <c r="KUH5" s="2"/>
      <c r="KUJ5" s="2"/>
      <c r="KUL5" s="2"/>
      <c r="KUN5" s="2"/>
      <c r="KUP5" s="2"/>
      <c r="KUR5" s="2"/>
      <c r="KUT5" s="2"/>
      <c r="KUV5" s="2"/>
      <c r="KUX5" s="2"/>
      <c r="KUZ5" s="2"/>
      <c r="KVB5" s="2"/>
      <c r="KVD5" s="2"/>
      <c r="KVF5" s="2"/>
      <c r="KVH5" s="2"/>
      <c r="KVJ5" s="2"/>
      <c r="KVL5" s="2"/>
      <c r="KVN5" s="2"/>
      <c r="KVP5" s="2"/>
      <c r="KVR5" s="2"/>
      <c r="KVT5" s="2"/>
      <c r="KVV5" s="2"/>
      <c r="KVX5" s="2"/>
      <c r="KVZ5" s="2"/>
      <c r="KWB5" s="2"/>
      <c r="KWD5" s="2"/>
      <c r="KWF5" s="2"/>
      <c r="KWH5" s="2"/>
      <c r="KWJ5" s="2"/>
      <c r="KWL5" s="2"/>
      <c r="KWN5" s="2"/>
      <c r="KWP5" s="2"/>
      <c r="KWR5" s="2"/>
      <c r="KWT5" s="2"/>
      <c r="KWV5" s="2"/>
      <c r="KWX5" s="2"/>
      <c r="KWZ5" s="2"/>
      <c r="KXB5" s="2"/>
      <c r="KXD5" s="2"/>
      <c r="KXF5" s="2"/>
      <c r="KXH5" s="2"/>
      <c r="KXJ5" s="2"/>
      <c r="KXL5" s="2"/>
      <c r="KXN5" s="2"/>
      <c r="KXP5" s="2"/>
      <c r="KXR5" s="2"/>
      <c r="KXT5" s="2"/>
      <c r="KXV5" s="2"/>
      <c r="KXX5" s="2"/>
      <c r="KXZ5" s="2"/>
      <c r="KYB5" s="2"/>
      <c r="KYD5" s="2"/>
      <c r="KYF5" s="2"/>
      <c r="KYH5" s="2"/>
      <c r="KYJ5" s="2"/>
      <c r="KYL5" s="2"/>
      <c r="KYN5" s="2"/>
      <c r="KYP5" s="2"/>
      <c r="KYR5" s="2"/>
      <c r="KYT5" s="2"/>
      <c r="KYV5" s="2"/>
      <c r="KYX5" s="2"/>
      <c r="KYZ5" s="2"/>
      <c r="KZB5" s="2"/>
      <c r="KZD5" s="2"/>
      <c r="KZF5" s="2"/>
      <c r="KZH5" s="2"/>
      <c r="KZJ5" s="2"/>
      <c r="KZL5" s="2"/>
      <c r="KZN5" s="2"/>
      <c r="KZP5" s="2"/>
      <c r="KZR5" s="2"/>
      <c r="KZT5" s="2"/>
      <c r="KZV5" s="2"/>
      <c r="KZX5" s="2"/>
      <c r="KZZ5" s="2"/>
      <c r="LAB5" s="2"/>
      <c r="LAD5" s="2"/>
      <c r="LAF5" s="2"/>
      <c r="LAH5" s="2"/>
      <c r="LAJ5" s="2"/>
      <c r="LAL5" s="2"/>
      <c r="LAN5" s="2"/>
      <c r="LAP5" s="2"/>
      <c r="LAR5" s="2"/>
      <c r="LAT5" s="2"/>
      <c r="LAV5" s="2"/>
      <c r="LAX5" s="2"/>
      <c r="LAZ5" s="2"/>
      <c r="LBB5" s="2"/>
      <c r="LBD5" s="2"/>
      <c r="LBF5" s="2"/>
      <c r="LBH5" s="2"/>
      <c r="LBJ5" s="2"/>
      <c r="LBL5" s="2"/>
      <c r="LBN5" s="2"/>
      <c r="LBP5" s="2"/>
      <c r="LBR5" s="2"/>
      <c r="LBT5" s="2"/>
      <c r="LBV5" s="2"/>
      <c r="LBX5" s="2"/>
      <c r="LBZ5" s="2"/>
      <c r="LCB5" s="2"/>
      <c r="LCD5" s="2"/>
      <c r="LCF5" s="2"/>
      <c r="LCH5" s="2"/>
      <c r="LCJ5" s="2"/>
      <c r="LCL5" s="2"/>
      <c r="LCN5" s="2"/>
      <c r="LCP5" s="2"/>
      <c r="LCR5" s="2"/>
      <c r="LCT5" s="2"/>
      <c r="LCV5" s="2"/>
      <c r="LCX5" s="2"/>
      <c r="LCZ5" s="2"/>
      <c r="LDB5" s="2"/>
      <c r="LDD5" s="2"/>
      <c r="LDF5" s="2"/>
      <c r="LDH5" s="2"/>
      <c r="LDJ5" s="2"/>
      <c r="LDL5" s="2"/>
      <c r="LDN5" s="2"/>
      <c r="LDP5" s="2"/>
      <c r="LDR5" s="2"/>
      <c r="LDT5" s="2"/>
      <c r="LDV5" s="2"/>
      <c r="LDX5" s="2"/>
      <c r="LDZ5" s="2"/>
      <c r="LEB5" s="2"/>
      <c r="LED5" s="2"/>
      <c r="LEF5" s="2"/>
      <c r="LEH5" s="2"/>
      <c r="LEJ5" s="2"/>
      <c r="LEL5" s="2"/>
      <c r="LEN5" s="2"/>
      <c r="LEP5" s="2"/>
      <c r="LER5" s="2"/>
      <c r="LET5" s="2"/>
      <c r="LEV5" s="2"/>
      <c r="LEX5" s="2"/>
      <c r="LEZ5" s="2"/>
      <c r="LFB5" s="2"/>
      <c r="LFD5" s="2"/>
      <c r="LFF5" s="2"/>
      <c r="LFH5" s="2"/>
      <c r="LFJ5" s="2"/>
      <c r="LFL5" s="2"/>
      <c r="LFN5" s="2"/>
      <c r="LFP5" s="2"/>
      <c r="LFR5" s="2"/>
      <c r="LFT5" s="2"/>
      <c r="LFV5" s="2"/>
      <c r="LFX5" s="2"/>
      <c r="LFZ5" s="2"/>
      <c r="LGB5" s="2"/>
      <c r="LGD5" s="2"/>
      <c r="LGF5" s="2"/>
      <c r="LGH5" s="2"/>
      <c r="LGJ5" s="2"/>
      <c r="LGL5" s="2"/>
      <c r="LGN5" s="2"/>
      <c r="LGP5" s="2"/>
      <c r="LGR5" s="2"/>
      <c r="LGT5" s="2"/>
      <c r="LGV5" s="2"/>
      <c r="LGX5" s="2"/>
      <c r="LGZ5" s="2"/>
      <c r="LHB5" s="2"/>
      <c r="LHD5" s="2"/>
      <c r="LHF5" s="2"/>
      <c r="LHH5" s="2"/>
      <c r="LHJ5" s="2"/>
      <c r="LHL5" s="2"/>
      <c r="LHN5" s="2"/>
      <c r="LHP5" s="2"/>
      <c r="LHR5" s="2"/>
      <c r="LHT5" s="2"/>
      <c r="LHV5" s="2"/>
      <c r="LHX5" s="2"/>
      <c r="LHZ5" s="2"/>
      <c r="LIB5" s="2"/>
      <c r="LID5" s="2"/>
      <c r="LIF5" s="2"/>
      <c r="LIH5" s="2"/>
      <c r="LIJ5" s="2"/>
      <c r="LIL5" s="2"/>
      <c r="LIN5" s="2"/>
      <c r="LIP5" s="2"/>
      <c r="LIR5" s="2"/>
      <c r="LIT5" s="2"/>
      <c r="LIV5" s="2"/>
      <c r="LIX5" s="2"/>
      <c r="LIZ5" s="2"/>
      <c r="LJB5" s="2"/>
      <c r="LJD5" s="2"/>
      <c r="LJF5" s="2"/>
      <c r="LJH5" s="2"/>
      <c r="LJJ5" s="2"/>
      <c r="LJL5" s="2"/>
      <c r="LJN5" s="2"/>
      <c r="LJP5" s="2"/>
      <c r="LJR5" s="2"/>
      <c r="LJT5" s="2"/>
      <c r="LJV5" s="2"/>
      <c r="LJX5" s="2"/>
      <c r="LJZ5" s="2"/>
      <c r="LKB5" s="2"/>
      <c r="LKD5" s="2"/>
      <c r="LKF5" s="2"/>
      <c r="LKH5" s="2"/>
      <c r="LKJ5" s="2"/>
      <c r="LKL5" s="2"/>
      <c r="LKN5" s="2"/>
      <c r="LKP5" s="2"/>
      <c r="LKR5" s="2"/>
      <c r="LKT5" s="2"/>
      <c r="LKV5" s="2"/>
      <c r="LKX5" s="2"/>
      <c r="LKZ5" s="2"/>
      <c r="LLB5" s="2"/>
      <c r="LLD5" s="2"/>
      <c r="LLF5" s="2"/>
      <c r="LLH5" s="2"/>
      <c r="LLJ5" s="2"/>
      <c r="LLL5" s="2"/>
      <c r="LLN5" s="2"/>
      <c r="LLP5" s="2"/>
      <c r="LLR5" s="2"/>
      <c r="LLT5" s="2"/>
      <c r="LLV5" s="2"/>
      <c r="LLX5" s="2"/>
      <c r="LLZ5" s="2"/>
      <c r="LMB5" s="2"/>
      <c r="LMD5" s="2"/>
      <c r="LMF5" s="2"/>
      <c r="LMH5" s="2"/>
      <c r="LMJ5" s="2"/>
      <c r="LML5" s="2"/>
      <c r="LMN5" s="2"/>
      <c r="LMP5" s="2"/>
      <c r="LMR5" s="2"/>
      <c r="LMT5" s="2"/>
      <c r="LMV5" s="2"/>
      <c r="LMX5" s="2"/>
      <c r="LMZ5" s="2"/>
      <c r="LNB5" s="2"/>
      <c r="LND5" s="2"/>
      <c r="LNF5" s="2"/>
      <c r="LNH5" s="2"/>
      <c r="LNJ5" s="2"/>
      <c r="LNL5" s="2"/>
      <c r="LNN5" s="2"/>
      <c r="LNP5" s="2"/>
      <c r="LNR5" s="2"/>
      <c r="LNT5" s="2"/>
      <c r="LNV5" s="2"/>
      <c r="LNX5" s="2"/>
      <c r="LNZ5" s="2"/>
      <c r="LOB5" s="2"/>
      <c r="LOD5" s="2"/>
      <c r="LOF5" s="2"/>
      <c r="LOH5" s="2"/>
      <c r="LOJ5" s="2"/>
      <c r="LOL5" s="2"/>
      <c r="LON5" s="2"/>
      <c r="LOP5" s="2"/>
      <c r="LOR5" s="2"/>
      <c r="LOT5" s="2"/>
      <c r="LOV5" s="2"/>
      <c r="LOX5" s="2"/>
      <c r="LOZ5" s="2"/>
      <c r="LPB5" s="2"/>
      <c r="LPD5" s="2"/>
      <c r="LPF5" s="2"/>
      <c r="LPH5" s="2"/>
      <c r="LPJ5" s="2"/>
      <c r="LPL5" s="2"/>
      <c r="LPN5" s="2"/>
      <c r="LPP5" s="2"/>
      <c r="LPR5" s="2"/>
      <c r="LPT5" s="2"/>
      <c r="LPV5" s="2"/>
      <c r="LPX5" s="2"/>
      <c r="LPZ5" s="2"/>
      <c r="LQB5" s="2"/>
      <c r="LQD5" s="2"/>
      <c r="LQF5" s="2"/>
      <c r="LQH5" s="2"/>
      <c r="LQJ5" s="2"/>
      <c r="LQL5" s="2"/>
      <c r="LQN5" s="2"/>
      <c r="LQP5" s="2"/>
      <c r="LQR5" s="2"/>
      <c r="LQT5" s="2"/>
      <c r="LQV5" s="2"/>
      <c r="LQX5" s="2"/>
      <c r="LQZ5" s="2"/>
      <c r="LRB5" s="2"/>
      <c r="LRD5" s="2"/>
      <c r="LRF5" s="2"/>
      <c r="LRH5" s="2"/>
      <c r="LRJ5" s="2"/>
      <c r="LRL5" s="2"/>
      <c r="LRN5" s="2"/>
      <c r="LRP5" s="2"/>
      <c r="LRR5" s="2"/>
      <c r="LRT5" s="2"/>
      <c r="LRV5" s="2"/>
      <c r="LRX5" s="2"/>
      <c r="LRZ5" s="2"/>
      <c r="LSB5" s="2"/>
      <c r="LSD5" s="2"/>
      <c r="LSF5" s="2"/>
      <c r="LSH5" s="2"/>
      <c r="LSJ5" s="2"/>
      <c r="LSL5" s="2"/>
      <c r="LSN5" s="2"/>
      <c r="LSP5" s="2"/>
      <c r="LSR5" s="2"/>
      <c r="LST5" s="2"/>
      <c r="LSV5" s="2"/>
      <c r="LSX5" s="2"/>
      <c r="LSZ5" s="2"/>
      <c r="LTB5" s="2"/>
      <c r="LTD5" s="2"/>
      <c r="LTF5" s="2"/>
      <c r="LTH5" s="2"/>
      <c r="LTJ5" s="2"/>
      <c r="LTL5" s="2"/>
      <c r="LTN5" s="2"/>
      <c r="LTP5" s="2"/>
      <c r="LTR5" s="2"/>
      <c r="LTT5" s="2"/>
      <c r="LTV5" s="2"/>
      <c r="LTX5" s="2"/>
      <c r="LTZ5" s="2"/>
      <c r="LUB5" s="2"/>
      <c r="LUD5" s="2"/>
      <c r="LUF5" s="2"/>
      <c r="LUH5" s="2"/>
      <c r="LUJ5" s="2"/>
      <c r="LUL5" s="2"/>
      <c r="LUN5" s="2"/>
      <c r="LUP5" s="2"/>
      <c r="LUR5" s="2"/>
      <c r="LUT5" s="2"/>
      <c r="LUV5" s="2"/>
      <c r="LUX5" s="2"/>
      <c r="LUZ5" s="2"/>
      <c r="LVB5" s="2"/>
      <c r="LVD5" s="2"/>
      <c r="LVF5" s="2"/>
      <c r="LVH5" s="2"/>
      <c r="LVJ5" s="2"/>
      <c r="LVL5" s="2"/>
      <c r="LVN5" s="2"/>
      <c r="LVP5" s="2"/>
      <c r="LVR5" s="2"/>
      <c r="LVT5" s="2"/>
      <c r="LVV5" s="2"/>
      <c r="LVX5" s="2"/>
      <c r="LVZ5" s="2"/>
      <c r="LWB5" s="2"/>
      <c r="LWD5" s="2"/>
      <c r="LWF5" s="2"/>
      <c r="LWH5" s="2"/>
      <c r="LWJ5" s="2"/>
      <c r="LWL5" s="2"/>
      <c r="LWN5" s="2"/>
      <c r="LWP5" s="2"/>
      <c r="LWR5" s="2"/>
      <c r="LWT5" s="2"/>
      <c r="LWV5" s="2"/>
      <c r="LWX5" s="2"/>
      <c r="LWZ5" s="2"/>
      <c r="LXB5" s="2"/>
      <c r="LXD5" s="2"/>
      <c r="LXF5" s="2"/>
      <c r="LXH5" s="2"/>
      <c r="LXJ5" s="2"/>
      <c r="LXL5" s="2"/>
      <c r="LXN5" s="2"/>
      <c r="LXP5" s="2"/>
      <c r="LXR5" s="2"/>
      <c r="LXT5" s="2"/>
      <c r="LXV5" s="2"/>
      <c r="LXX5" s="2"/>
      <c r="LXZ5" s="2"/>
      <c r="LYB5" s="2"/>
      <c r="LYD5" s="2"/>
      <c r="LYF5" s="2"/>
      <c r="LYH5" s="2"/>
      <c r="LYJ5" s="2"/>
      <c r="LYL5" s="2"/>
      <c r="LYN5" s="2"/>
      <c r="LYP5" s="2"/>
      <c r="LYR5" s="2"/>
      <c r="LYT5" s="2"/>
      <c r="LYV5" s="2"/>
      <c r="LYX5" s="2"/>
      <c r="LYZ5" s="2"/>
      <c r="LZB5" s="2"/>
      <c r="LZD5" s="2"/>
      <c r="LZF5" s="2"/>
      <c r="LZH5" s="2"/>
      <c r="LZJ5" s="2"/>
      <c r="LZL5" s="2"/>
      <c r="LZN5" s="2"/>
      <c r="LZP5" s="2"/>
      <c r="LZR5" s="2"/>
      <c r="LZT5" s="2"/>
      <c r="LZV5" s="2"/>
      <c r="LZX5" s="2"/>
      <c r="LZZ5" s="2"/>
      <c r="MAB5" s="2"/>
      <c r="MAD5" s="2"/>
      <c r="MAF5" s="2"/>
      <c r="MAH5" s="2"/>
      <c r="MAJ5" s="2"/>
      <c r="MAL5" s="2"/>
      <c r="MAN5" s="2"/>
      <c r="MAP5" s="2"/>
      <c r="MAR5" s="2"/>
      <c r="MAT5" s="2"/>
      <c r="MAV5" s="2"/>
      <c r="MAX5" s="2"/>
      <c r="MAZ5" s="2"/>
      <c r="MBB5" s="2"/>
      <c r="MBD5" s="2"/>
      <c r="MBF5" s="2"/>
      <c r="MBH5" s="2"/>
      <c r="MBJ5" s="2"/>
      <c r="MBL5" s="2"/>
      <c r="MBN5" s="2"/>
      <c r="MBP5" s="2"/>
      <c r="MBR5" s="2"/>
      <c r="MBT5" s="2"/>
      <c r="MBV5" s="2"/>
      <c r="MBX5" s="2"/>
      <c r="MBZ5" s="2"/>
      <c r="MCB5" s="2"/>
      <c r="MCD5" s="2"/>
      <c r="MCF5" s="2"/>
      <c r="MCH5" s="2"/>
      <c r="MCJ5" s="2"/>
      <c r="MCL5" s="2"/>
      <c r="MCN5" s="2"/>
      <c r="MCP5" s="2"/>
      <c r="MCR5" s="2"/>
      <c r="MCT5" s="2"/>
      <c r="MCV5" s="2"/>
      <c r="MCX5" s="2"/>
      <c r="MCZ5" s="2"/>
      <c r="MDB5" s="2"/>
      <c r="MDD5" s="2"/>
      <c r="MDF5" s="2"/>
      <c r="MDH5" s="2"/>
      <c r="MDJ5" s="2"/>
      <c r="MDL5" s="2"/>
      <c r="MDN5" s="2"/>
      <c r="MDP5" s="2"/>
      <c r="MDR5" s="2"/>
      <c r="MDT5" s="2"/>
      <c r="MDV5" s="2"/>
      <c r="MDX5" s="2"/>
      <c r="MDZ5" s="2"/>
      <c r="MEB5" s="2"/>
      <c r="MED5" s="2"/>
      <c r="MEF5" s="2"/>
      <c r="MEH5" s="2"/>
      <c r="MEJ5" s="2"/>
      <c r="MEL5" s="2"/>
      <c r="MEN5" s="2"/>
      <c r="MEP5" s="2"/>
      <c r="MER5" s="2"/>
      <c r="MET5" s="2"/>
      <c r="MEV5" s="2"/>
      <c r="MEX5" s="2"/>
      <c r="MEZ5" s="2"/>
      <c r="MFB5" s="2"/>
      <c r="MFD5" s="2"/>
      <c r="MFF5" s="2"/>
      <c r="MFH5" s="2"/>
      <c r="MFJ5" s="2"/>
      <c r="MFL5" s="2"/>
      <c r="MFN5" s="2"/>
      <c r="MFP5" s="2"/>
      <c r="MFR5" s="2"/>
      <c r="MFT5" s="2"/>
      <c r="MFV5" s="2"/>
      <c r="MFX5" s="2"/>
      <c r="MFZ5" s="2"/>
      <c r="MGB5" s="2"/>
      <c r="MGD5" s="2"/>
      <c r="MGF5" s="2"/>
      <c r="MGH5" s="2"/>
      <c r="MGJ5" s="2"/>
      <c r="MGL5" s="2"/>
      <c r="MGN5" s="2"/>
      <c r="MGP5" s="2"/>
      <c r="MGR5" s="2"/>
      <c r="MGT5" s="2"/>
      <c r="MGV5" s="2"/>
      <c r="MGX5" s="2"/>
      <c r="MGZ5" s="2"/>
      <c r="MHB5" s="2"/>
      <c r="MHD5" s="2"/>
      <c r="MHF5" s="2"/>
      <c r="MHH5" s="2"/>
      <c r="MHJ5" s="2"/>
      <c r="MHL5" s="2"/>
      <c r="MHN5" s="2"/>
      <c r="MHP5" s="2"/>
      <c r="MHR5" s="2"/>
      <c r="MHT5" s="2"/>
      <c r="MHV5" s="2"/>
      <c r="MHX5" s="2"/>
      <c r="MHZ5" s="2"/>
      <c r="MIB5" s="2"/>
      <c r="MID5" s="2"/>
      <c r="MIF5" s="2"/>
      <c r="MIH5" s="2"/>
      <c r="MIJ5" s="2"/>
      <c r="MIL5" s="2"/>
      <c r="MIN5" s="2"/>
      <c r="MIP5" s="2"/>
      <c r="MIR5" s="2"/>
      <c r="MIT5" s="2"/>
      <c r="MIV5" s="2"/>
      <c r="MIX5" s="2"/>
      <c r="MIZ5" s="2"/>
      <c r="MJB5" s="2"/>
      <c r="MJD5" s="2"/>
      <c r="MJF5" s="2"/>
      <c r="MJH5" s="2"/>
      <c r="MJJ5" s="2"/>
      <c r="MJL5" s="2"/>
      <c r="MJN5" s="2"/>
      <c r="MJP5" s="2"/>
      <c r="MJR5" s="2"/>
      <c r="MJT5" s="2"/>
      <c r="MJV5" s="2"/>
      <c r="MJX5" s="2"/>
      <c r="MJZ5" s="2"/>
      <c r="MKB5" s="2"/>
      <c r="MKD5" s="2"/>
      <c r="MKF5" s="2"/>
      <c r="MKH5" s="2"/>
      <c r="MKJ5" s="2"/>
      <c r="MKL5" s="2"/>
      <c r="MKN5" s="2"/>
      <c r="MKP5" s="2"/>
      <c r="MKR5" s="2"/>
      <c r="MKT5" s="2"/>
      <c r="MKV5" s="2"/>
      <c r="MKX5" s="2"/>
      <c r="MKZ5" s="2"/>
      <c r="MLB5" s="2"/>
      <c r="MLD5" s="2"/>
      <c r="MLF5" s="2"/>
      <c r="MLH5" s="2"/>
      <c r="MLJ5" s="2"/>
      <c r="MLL5" s="2"/>
      <c r="MLN5" s="2"/>
      <c r="MLP5" s="2"/>
      <c r="MLR5" s="2"/>
      <c r="MLT5" s="2"/>
      <c r="MLV5" s="2"/>
      <c r="MLX5" s="2"/>
      <c r="MLZ5" s="2"/>
      <c r="MMB5" s="2"/>
      <c r="MMD5" s="2"/>
      <c r="MMF5" s="2"/>
      <c r="MMH5" s="2"/>
      <c r="MMJ5" s="2"/>
      <c r="MML5" s="2"/>
      <c r="MMN5" s="2"/>
      <c r="MMP5" s="2"/>
      <c r="MMR5" s="2"/>
      <c r="MMT5" s="2"/>
      <c r="MMV5" s="2"/>
      <c r="MMX5" s="2"/>
      <c r="MMZ5" s="2"/>
      <c r="MNB5" s="2"/>
      <c r="MND5" s="2"/>
      <c r="MNF5" s="2"/>
      <c r="MNH5" s="2"/>
      <c r="MNJ5" s="2"/>
      <c r="MNL5" s="2"/>
      <c r="MNN5" s="2"/>
      <c r="MNP5" s="2"/>
      <c r="MNR5" s="2"/>
      <c r="MNT5" s="2"/>
      <c r="MNV5" s="2"/>
      <c r="MNX5" s="2"/>
      <c r="MNZ5" s="2"/>
      <c r="MOB5" s="2"/>
      <c r="MOD5" s="2"/>
      <c r="MOF5" s="2"/>
      <c r="MOH5" s="2"/>
      <c r="MOJ5" s="2"/>
      <c r="MOL5" s="2"/>
      <c r="MON5" s="2"/>
      <c r="MOP5" s="2"/>
      <c r="MOR5" s="2"/>
      <c r="MOT5" s="2"/>
      <c r="MOV5" s="2"/>
      <c r="MOX5" s="2"/>
      <c r="MOZ5" s="2"/>
      <c r="MPB5" s="2"/>
      <c r="MPD5" s="2"/>
      <c r="MPF5" s="2"/>
      <c r="MPH5" s="2"/>
      <c r="MPJ5" s="2"/>
      <c r="MPL5" s="2"/>
      <c r="MPN5" s="2"/>
      <c r="MPP5" s="2"/>
      <c r="MPR5" s="2"/>
      <c r="MPT5" s="2"/>
      <c r="MPV5" s="2"/>
      <c r="MPX5" s="2"/>
      <c r="MPZ5" s="2"/>
      <c r="MQB5" s="2"/>
      <c r="MQD5" s="2"/>
      <c r="MQF5" s="2"/>
      <c r="MQH5" s="2"/>
      <c r="MQJ5" s="2"/>
      <c r="MQL5" s="2"/>
      <c r="MQN5" s="2"/>
      <c r="MQP5" s="2"/>
      <c r="MQR5" s="2"/>
      <c r="MQT5" s="2"/>
      <c r="MQV5" s="2"/>
      <c r="MQX5" s="2"/>
      <c r="MQZ5" s="2"/>
      <c r="MRB5" s="2"/>
      <c r="MRD5" s="2"/>
      <c r="MRF5" s="2"/>
      <c r="MRH5" s="2"/>
      <c r="MRJ5" s="2"/>
      <c r="MRL5" s="2"/>
      <c r="MRN5" s="2"/>
      <c r="MRP5" s="2"/>
      <c r="MRR5" s="2"/>
      <c r="MRT5" s="2"/>
      <c r="MRV5" s="2"/>
      <c r="MRX5" s="2"/>
      <c r="MRZ5" s="2"/>
      <c r="MSB5" s="2"/>
      <c r="MSD5" s="2"/>
      <c r="MSF5" s="2"/>
      <c r="MSH5" s="2"/>
      <c r="MSJ5" s="2"/>
      <c r="MSL5" s="2"/>
      <c r="MSN5" s="2"/>
      <c r="MSP5" s="2"/>
      <c r="MSR5" s="2"/>
      <c r="MST5" s="2"/>
      <c r="MSV5" s="2"/>
      <c r="MSX5" s="2"/>
      <c r="MSZ5" s="2"/>
      <c r="MTB5" s="2"/>
      <c r="MTD5" s="2"/>
      <c r="MTF5" s="2"/>
      <c r="MTH5" s="2"/>
      <c r="MTJ5" s="2"/>
      <c r="MTL5" s="2"/>
      <c r="MTN5" s="2"/>
      <c r="MTP5" s="2"/>
      <c r="MTR5" s="2"/>
      <c r="MTT5" s="2"/>
      <c r="MTV5" s="2"/>
      <c r="MTX5" s="2"/>
      <c r="MTZ5" s="2"/>
      <c r="MUB5" s="2"/>
      <c r="MUD5" s="2"/>
      <c r="MUF5" s="2"/>
      <c r="MUH5" s="2"/>
      <c r="MUJ5" s="2"/>
      <c r="MUL5" s="2"/>
      <c r="MUN5" s="2"/>
      <c r="MUP5" s="2"/>
      <c r="MUR5" s="2"/>
      <c r="MUT5" s="2"/>
      <c r="MUV5" s="2"/>
      <c r="MUX5" s="2"/>
      <c r="MUZ5" s="2"/>
      <c r="MVB5" s="2"/>
      <c r="MVD5" s="2"/>
      <c r="MVF5" s="2"/>
      <c r="MVH5" s="2"/>
      <c r="MVJ5" s="2"/>
      <c r="MVL5" s="2"/>
      <c r="MVN5" s="2"/>
      <c r="MVP5" s="2"/>
      <c r="MVR5" s="2"/>
      <c r="MVT5" s="2"/>
      <c r="MVV5" s="2"/>
      <c r="MVX5" s="2"/>
      <c r="MVZ5" s="2"/>
      <c r="MWB5" s="2"/>
      <c r="MWD5" s="2"/>
      <c r="MWF5" s="2"/>
      <c r="MWH5" s="2"/>
      <c r="MWJ5" s="2"/>
      <c r="MWL5" s="2"/>
      <c r="MWN5" s="2"/>
      <c r="MWP5" s="2"/>
      <c r="MWR5" s="2"/>
      <c r="MWT5" s="2"/>
      <c r="MWV5" s="2"/>
      <c r="MWX5" s="2"/>
      <c r="MWZ5" s="2"/>
      <c r="MXB5" s="2"/>
      <c r="MXD5" s="2"/>
      <c r="MXF5" s="2"/>
      <c r="MXH5" s="2"/>
      <c r="MXJ5" s="2"/>
      <c r="MXL5" s="2"/>
      <c r="MXN5" s="2"/>
      <c r="MXP5" s="2"/>
      <c r="MXR5" s="2"/>
      <c r="MXT5" s="2"/>
      <c r="MXV5" s="2"/>
      <c r="MXX5" s="2"/>
      <c r="MXZ5" s="2"/>
      <c r="MYB5" s="2"/>
      <c r="MYD5" s="2"/>
      <c r="MYF5" s="2"/>
      <c r="MYH5" s="2"/>
      <c r="MYJ5" s="2"/>
      <c r="MYL5" s="2"/>
      <c r="MYN5" s="2"/>
      <c r="MYP5" s="2"/>
      <c r="MYR5" s="2"/>
      <c r="MYT5" s="2"/>
      <c r="MYV5" s="2"/>
      <c r="MYX5" s="2"/>
      <c r="MYZ5" s="2"/>
      <c r="MZB5" s="2"/>
      <c r="MZD5" s="2"/>
      <c r="MZF5" s="2"/>
      <c r="MZH5" s="2"/>
      <c r="MZJ5" s="2"/>
      <c r="MZL5" s="2"/>
      <c r="MZN5" s="2"/>
      <c r="MZP5" s="2"/>
      <c r="MZR5" s="2"/>
      <c r="MZT5" s="2"/>
      <c r="MZV5" s="2"/>
      <c r="MZX5" s="2"/>
      <c r="MZZ5" s="2"/>
      <c r="NAB5" s="2"/>
      <c r="NAD5" s="2"/>
      <c r="NAF5" s="2"/>
      <c r="NAH5" s="2"/>
      <c r="NAJ5" s="2"/>
      <c r="NAL5" s="2"/>
      <c r="NAN5" s="2"/>
      <c r="NAP5" s="2"/>
      <c r="NAR5" s="2"/>
      <c r="NAT5" s="2"/>
      <c r="NAV5" s="2"/>
      <c r="NAX5" s="2"/>
      <c r="NAZ5" s="2"/>
      <c r="NBB5" s="2"/>
      <c r="NBD5" s="2"/>
      <c r="NBF5" s="2"/>
      <c r="NBH5" s="2"/>
      <c r="NBJ5" s="2"/>
      <c r="NBL5" s="2"/>
      <c r="NBN5" s="2"/>
      <c r="NBP5" s="2"/>
      <c r="NBR5" s="2"/>
      <c r="NBT5" s="2"/>
      <c r="NBV5" s="2"/>
      <c r="NBX5" s="2"/>
      <c r="NBZ5" s="2"/>
      <c r="NCB5" s="2"/>
      <c r="NCD5" s="2"/>
      <c r="NCF5" s="2"/>
      <c r="NCH5" s="2"/>
      <c r="NCJ5" s="2"/>
      <c r="NCL5" s="2"/>
      <c r="NCN5" s="2"/>
      <c r="NCP5" s="2"/>
      <c r="NCR5" s="2"/>
      <c r="NCT5" s="2"/>
      <c r="NCV5" s="2"/>
      <c r="NCX5" s="2"/>
      <c r="NCZ5" s="2"/>
      <c r="NDB5" s="2"/>
      <c r="NDD5" s="2"/>
      <c r="NDF5" s="2"/>
      <c r="NDH5" s="2"/>
      <c r="NDJ5" s="2"/>
      <c r="NDL5" s="2"/>
      <c r="NDN5" s="2"/>
      <c r="NDP5" s="2"/>
      <c r="NDR5" s="2"/>
      <c r="NDT5" s="2"/>
      <c r="NDV5" s="2"/>
      <c r="NDX5" s="2"/>
      <c r="NDZ5" s="2"/>
      <c r="NEB5" s="2"/>
      <c r="NED5" s="2"/>
      <c r="NEF5" s="2"/>
      <c r="NEH5" s="2"/>
      <c r="NEJ5" s="2"/>
      <c r="NEL5" s="2"/>
      <c r="NEN5" s="2"/>
      <c r="NEP5" s="2"/>
      <c r="NER5" s="2"/>
      <c r="NET5" s="2"/>
      <c r="NEV5" s="2"/>
      <c r="NEX5" s="2"/>
      <c r="NEZ5" s="2"/>
      <c r="NFB5" s="2"/>
      <c r="NFD5" s="2"/>
      <c r="NFF5" s="2"/>
      <c r="NFH5" s="2"/>
      <c r="NFJ5" s="2"/>
      <c r="NFL5" s="2"/>
      <c r="NFN5" s="2"/>
      <c r="NFP5" s="2"/>
      <c r="NFR5" s="2"/>
      <c r="NFT5" s="2"/>
      <c r="NFV5" s="2"/>
      <c r="NFX5" s="2"/>
      <c r="NFZ5" s="2"/>
      <c r="NGB5" s="2"/>
      <c r="NGD5" s="2"/>
      <c r="NGF5" s="2"/>
      <c r="NGH5" s="2"/>
      <c r="NGJ5" s="2"/>
      <c r="NGL5" s="2"/>
      <c r="NGN5" s="2"/>
      <c r="NGP5" s="2"/>
      <c r="NGR5" s="2"/>
      <c r="NGT5" s="2"/>
      <c r="NGV5" s="2"/>
      <c r="NGX5" s="2"/>
      <c r="NGZ5" s="2"/>
      <c r="NHB5" s="2"/>
      <c r="NHD5" s="2"/>
      <c r="NHF5" s="2"/>
      <c r="NHH5" s="2"/>
      <c r="NHJ5" s="2"/>
      <c r="NHL5" s="2"/>
      <c r="NHN5" s="2"/>
      <c r="NHP5" s="2"/>
      <c r="NHR5" s="2"/>
      <c r="NHT5" s="2"/>
      <c r="NHV5" s="2"/>
      <c r="NHX5" s="2"/>
      <c r="NHZ5" s="2"/>
      <c r="NIB5" s="2"/>
      <c r="NID5" s="2"/>
      <c r="NIF5" s="2"/>
      <c r="NIH5" s="2"/>
      <c r="NIJ5" s="2"/>
      <c r="NIL5" s="2"/>
      <c r="NIN5" s="2"/>
      <c r="NIP5" s="2"/>
      <c r="NIR5" s="2"/>
      <c r="NIT5" s="2"/>
      <c r="NIV5" s="2"/>
      <c r="NIX5" s="2"/>
      <c r="NIZ5" s="2"/>
      <c r="NJB5" s="2"/>
      <c r="NJD5" s="2"/>
      <c r="NJF5" s="2"/>
      <c r="NJH5" s="2"/>
      <c r="NJJ5" s="2"/>
      <c r="NJL5" s="2"/>
      <c r="NJN5" s="2"/>
      <c r="NJP5" s="2"/>
      <c r="NJR5" s="2"/>
      <c r="NJT5" s="2"/>
      <c r="NJV5" s="2"/>
      <c r="NJX5" s="2"/>
      <c r="NJZ5" s="2"/>
      <c r="NKB5" s="2"/>
      <c r="NKD5" s="2"/>
      <c r="NKF5" s="2"/>
      <c r="NKH5" s="2"/>
      <c r="NKJ5" s="2"/>
      <c r="NKL5" s="2"/>
      <c r="NKN5" s="2"/>
      <c r="NKP5" s="2"/>
      <c r="NKR5" s="2"/>
      <c r="NKT5" s="2"/>
      <c r="NKV5" s="2"/>
      <c r="NKX5" s="2"/>
      <c r="NKZ5" s="2"/>
      <c r="NLB5" s="2"/>
      <c r="NLD5" s="2"/>
      <c r="NLF5" s="2"/>
      <c r="NLH5" s="2"/>
      <c r="NLJ5" s="2"/>
      <c r="NLL5" s="2"/>
      <c r="NLN5" s="2"/>
      <c r="NLP5" s="2"/>
      <c r="NLR5" s="2"/>
      <c r="NLT5" s="2"/>
      <c r="NLV5" s="2"/>
      <c r="NLX5" s="2"/>
      <c r="NLZ5" s="2"/>
      <c r="NMB5" s="2"/>
      <c r="NMD5" s="2"/>
      <c r="NMF5" s="2"/>
      <c r="NMH5" s="2"/>
      <c r="NMJ5" s="2"/>
      <c r="NML5" s="2"/>
      <c r="NMN5" s="2"/>
      <c r="NMP5" s="2"/>
      <c r="NMR5" s="2"/>
      <c r="NMT5" s="2"/>
      <c r="NMV5" s="2"/>
      <c r="NMX5" s="2"/>
      <c r="NMZ5" s="2"/>
      <c r="NNB5" s="2"/>
      <c r="NND5" s="2"/>
      <c r="NNF5" s="2"/>
      <c r="NNH5" s="2"/>
      <c r="NNJ5" s="2"/>
      <c r="NNL5" s="2"/>
      <c r="NNN5" s="2"/>
      <c r="NNP5" s="2"/>
      <c r="NNR5" s="2"/>
      <c r="NNT5" s="2"/>
      <c r="NNV5" s="2"/>
      <c r="NNX5" s="2"/>
      <c r="NNZ5" s="2"/>
      <c r="NOB5" s="2"/>
      <c r="NOD5" s="2"/>
      <c r="NOF5" s="2"/>
      <c r="NOH5" s="2"/>
      <c r="NOJ5" s="2"/>
      <c r="NOL5" s="2"/>
      <c r="NON5" s="2"/>
      <c r="NOP5" s="2"/>
      <c r="NOR5" s="2"/>
      <c r="NOT5" s="2"/>
      <c r="NOV5" s="2"/>
      <c r="NOX5" s="2"/>
      <c r="NOZ5" s="2"/>
      <c r="NPB5" s="2"/>
      <c r="NPD5" s="2"/>
      <c r="NPF5" s="2"/>
      <c r="NPH5" s="2"/>
      <c r="NPJ5" s="2"/>
      <c r="NPL5" s="2"/>
      <c r="NPN5" s="2"/>
      <c r="NPP5" s="2"/>
      <c r="NPR5" s="2"/>
      <c r="NPT5" s="2"/>
      <c r="NPV5" s="2"/>
      <c r="NPX5" s="2"/>
      <c r="NPZ5" s="2"/>
      <c r="NQB5" s="2"/>
      <c r="NQD5" s="2"/>
      <c r="NQF5" s="2"/>
      <c r="NQH5" s="2"/>
      <c r="NQJ5" s="2"/>
      <c r="NQL5" s="2"/>
      <c r="NQN5" s="2"/>
      <c r="NQP5" s="2"/>
      <c r="NQR5" s="2"/>
      <c r="NQT5" s="2"/>
      <c r="NQV5" s="2"/>
      <c r="NQX5" s="2"/>
      <c r="NQZ5" s="2"/>
      <c r="NRB5" s="2"/>
      <c r="NRD5" s="2"/>
      <c r="NRF5" s="2"/>
      <c r="NRH5" s="2"/>
      <c r="NRJ5" s="2"/>
      <c r="NRL5" s="2"/>
      <c r="NRN5" s="2"/>
      <c r="NRP5" s="2"/>
      <c r="NRR5" s="2"/>
      <c r="NRT5" s="2"/>
      <c r="NRV5" s="2"/>
      <c r="NRX5" s="2"/>
      <c r="NRZ5" s="2"/>
      <c r="NSB5" s="2"/>
      <c r="NSD5" s="2"/>
      <c r="NSF5" s="2"/>
      <c r="NSH5" s="2"/>
      <c r="NSJ5" s="2"/>
      <c r="NSL5" s="2"/>
      <c r="NSN5" s="2"/>
      <c r="NSP5" s="2"/>
      <c r="NSR5" s="2"/>
      <c r="NST5" s="2"/>
      <c r="NSV5" s="2"/>
      <c r="NSX5" s="2"/>
      <c r="NSZ5" s="2"/>
      <c r="NTB5" s="2"/>
      <c r="NTD5" s="2"/>
      <c r="NTF5" s="2"/>
      <c r="NTH5" s="2"/>
      <c r="NTJ5" s="2"/>
      <c r="NTL5" s="2"/>
      <c r="NTN5" s="2"/>
      <c r="NTP5" s="2"/>
      <c r="NTR5" s="2"/>
      <c r="NTT5" s="2"/>
      <c r="NTV5" s="2"/>
      <c r="NTX5" s="2"/>
      <c r="NTZ5" s="2"/>
      <c r="NUB5" s="2"/>
      <c r="NUD5" s="2"/>
      <c r="NUF5" s="2"/>
      <c r="NUH5" s="2"/>
      <c r="NUJ5" s="2"/>
      <c r="NUL5" s="2"/>
      <c r="NUN5" s="2"/>
      <c r="NUP5" s="2"/>
      <c r="NUR5" s="2"/>
      <c r="NUT5" s="2"/>
      <c r="NUV5" s="2"/>
      <c r="NUX5" s="2"/>
      <c r="NUZ5" s="2"/>
      <c r="NVB5" s="2"/>
      <c r="NVD5" s="2"/>
      <c r="NVF5" s="2"/>
      <c r="NVH5" s="2"/>
      <c r="NVJ5" s="2"/>
      <c r="NVL5" s="2"/>
      <c r="NVN5" s="2"/>
      <c r="NVP5" s="2"/>
      <c r="NVR5" s="2"/>
      <c r="NVT5" s="2"/>
      <c r="NVV5" s="2"/>
      <c r="NVX5" s="2"/>
      <c r="NVZ5" s="2"/>
      <c r="NWB5" s="2"/>
      <c r="NWD5" s="2"/>
      <c r="NWF5" s="2"/>
      <c r="NWH5" s="2"/>
      <c r="NWJ5" s="2"/>
      <c r="NWL5" s="2"/>
      <c r="NWN5" s="2"/>
      <c r="NWP5" s="2"/>
      <c r="NWR5" s="2"/>
      <c r="NWT5" s="2"/>
      <c r="NWV5" s="2"/>
      <c r="NWX5" s="2"/>
      <c r="NWZ5" s="2"/>
      <c r="NXB5" s="2"/>
      <c r="NXD5" s="2"/>
      <c r="NXF5" s="2"/>
      <c r="NXH5" s="2"/>
      <c r="NXJ5" s="2"/>
      <c r="NXL5" s="2"/>
      <c r="NXN5" s="2"/>
      <c r="NXP5" s="2"/>
      <c r="NXR5" s="2"/>
      <c r="NXT5" s="2"/>
      <c r="NXV5" s="2"/>
      <c r="NXX5" s="2"/>
      <c r="NXZ5" s="2"/>
      <c r="NYB5" s="2"/>
      <c r="NYD5" s="2"/>
      <c r="NYF5" s="2"/>
      <c r="NYH5" s="2"/>
      <c r="NYJ5" s="2"/>
      <c r="NYL5" s="2"/>
      <c r="NYN5" s="2"/>
      <c r="NYP5" s="2"/>
      <c r="NYR5" s="2"/>
      <c r="NYT5" s="2"/>
      <c r="NYV5" s="2"/>
      <c r="NYX5" s="2"/>
      <c r="NYZ5" s="2"/>
      <c r="NZB5" s="2"/>
      <c r="NZD5" s="2"/>
      <c r="NZF5" s="2"/>
      <c r="NZH5" s="2"/>
      <c r="NZJ5" s="2"/>
      <c r="NZL5" s="2"/>
      <c r="NZN5" s="2"/>
      <c r="NZP5" s="2"/>
      <c r="NZR5" s="2"/>
      <c r="NZT5" s="2"/>
      <c r="NZV5" s="2"/>
      <c r="NZX5" s="2"/>
      <c r="NZZ5" s="2"/>
      <c r="OAB5" s="2"/>
      <c r="OAD5" s="2"/>
      <c r="OAF5" s="2"/>
      <c r="OAH5" s="2"/>
      <c r="OAJ5" s="2"/>
      <c r="OAL5" s="2"/>
      <c r="OAN5" s="2"/>
      <c r="OAP5" s="2"/>
      <c r="OAR5" s="2"/>
      <c r="OAT5" s="2"/>
      <c r="OAV5" s="2"/>
      <c r="OAX5" s="2"/>
      <c r="OAZ5" s="2"/>
      <c r="OBB5" s="2"/>
      <c r="OBD5" s="2"/>
      <c r="OBF5" s="2"/>
      <c r="OBH5" s="2"/>
      <c r="OBJ5" s="2"/>
      <c r="OBL5" s="2"/>
      <c r="OBN5" s="2"/>
      <c r="OBP5" s="2"/>
      <c r="OBR5" s="2"/>
      <c r="OBT5" s="2"/>
      <c r="OBV5" s="2"/>
      <c r="OBX5" s="2"/>
      <c r="OBZ5" s="2"/>
      <c r="OCB5" s="2"/>
      <c r="OCD5" s="2"/>
      <c r="OCF5" s="2"/>
      <c r="OCH5" s="2"/>
      <c r="OCJ5" s="2"/>
      <c r="OCL5" s="2"/>
      <c r="OCN5" s="2"/>
      <c r="OCP5" s="2"/>
      <c r="OCR5" s="2"/>
      <c r="OCT5" s="2"/>
      <c r="OCV5" s="2"/>
      <c r="OCX5" s="2"/>
      <c r="OCZ5" s="2"/>
      <c r="ODB5" s="2"/>
      <c r="ODD5" s="2"/>
      <c r="ODF5" s="2"/>
      <c r="ODH5" s="2"/>
      <c r="ODJ5" s="2"/>
      <c r="ODL5" s="2"/>
      <c r="ODN5" s="2"/>
      <c r="ODP5" s="2"/>
      <c r="ODR5" s="2"/>
      <c r="ODT5" s="2"/>
      <c r="ODV5" s="2"/>
      <c r="ODX5" s="2"/>
      <c r="ODZ5" s="2"/>
      <c r="OEB5" s="2"/>
      <c r="OED5" s="2"/>
      <c r="OEF5" s="2"/>
      <c r="OEH5" s="2"/>
      <c r="OEJ5" s="2"/>
      <c r="OEL5" s="2"/>
      <c r="OEN5" s="2"/>
      <c r="OEP5" s="2"/>
      <c r="OER5" s="2"/>
      <c r="OET5" s="2"/>
      <c r="OEV5" s="2"/>
      <c r="OEX5" s="2"/>
      <c r="OEZ5" s="2"/>
      <c r="OFB5" s="2"/>
      <c r="OFD5" s="2"/>
      <c r="OFF5" s="2"/>
      <c r="OFH5" s="2"/>
      <c r="OFJ5" s="2"/>
      <c r="OFL5" s="2"/>
      <c r="OFN5" s="2"/>
      <c r="OFP5" s="2"/>
      <c r="OFR5" s="2"/>
      <c r="OFT5" s="2"/>
      <c r="OFV5" s="2"/>
      <c r="OFX5" s="2"/>
      <c r="OFZ5" s="2"/>
      <c r="OGB5" s="2"/>
      <c r="OGD5" s="2"/>
      <c r="OGF5" s="2"/>
      <c r="OGH5" s="2"/>
      <c r="OGJ5" s="2"/>
      <c r="OGL5" s="2"/>
      <c r="OGN5" s="2"/>
      <c r="OGP5" s="2"/>
      <c r="OGR5" s="2"/>
      <c r="OGT5" s="2"/>
      <c r="OGV5" s="2"/>
      <c r="OGX5" s="2"/>
      <c r="OGZ5" s="2"/>
      <c r="OHB5" s="2"/>
      <c r="OHD5" s="2"/>
      <c r="OHF5" s="2"/>
      <c r="OHH5" s="2"/>
      <c r="OHJ5" s="2"/>
      <c r="OHL5" s="2"/>
      <c r="OHN5" s="2"/>
      <c r="OHP5" s="2"/>
      <c r="OHR5" s="2"/>
      <c r="OHT5" s="2"/>
      <c r="OHV5" s="2"/>
      <c r="OHX5" s="2"/>
      <c r="OHZ5" s="2"/>
      <c r="OIB5" s="2"/>
      <c r="OID5" s="2"/>
      <c r="OIF5" s="2"/>
      <c r="OIH5" s="2"/>
      <c r="OIJ5" s="2"/>
      <c r="OIL5" s="2"/>
      <c r="OIN5" s="2"/>
      <c r="OIP5" s="2"/>
      <c r="OIR5" s="2"/>
      <c r="OIT5" s="2"/>
      <c r="OIV5" s="2"/>
      <c r="OIX5" s="2"/>
      <c r="OIZ5" s="2"/>
      <c r="OJB5" s="2"/>
      <c r="OJD5" s="2"/>
      <c r="OJF5" s="2"/>
      <c r="OJH5" s="2"/>
      <c r="OJJ5" s="2"/>
      <c r="OJL5" s="2"/>
      <c r="OJN5" s="2"/>
      <c r="OJP5" s="2"/>
      <c r="OJR5" s="2"/>
      <c r="OJT5" s="2"/>
      <c r="OJV5" s="2"/>
      <c r="OJX5" s="2"/>
      <c r="OJZ5" s="2"/>
      <c r="OKB5" s="2"/>
      <c r="OKD5" s="2"/>
      <c r="OKF5" s="2"/>
      <c r="OKH5" s="2"/>
      <c r="OKJ5" s="2"/>
      <c r="OKL5" s="2"/>
      <c r="OKN5" s="2"/>
      <c r="OKP5" s="2"/>
      <c r="OKR5" s="2"/>
      <c r="OKT5" s="2"/>
      <c r="OKV5" s="2"/>
      <c r="OKX5" s="2"/>
      <c r="OKZ5" s="2"/>
      <c r="OLB5" s="2"/>
      <c r="OLD5" s="2"/>
      <c r="OLF5" s="2"/>
      <c r="OLH5" s="2"/>
      <c r="OLJ5" s="2"/>
      <c r="OLL5" s="2"/>
      <c r="OLN5" s="2"/>
      <c r="OLP5" s="2"/>
      <c r="OLR5" s="2"/>
      <c r="OLT5" s="2"/>
      <c r="OLV5" s="2"/>
      <c r="OLX5" s="2"/>
      <c r="OLZ5" s="2"/>
      <c r="OMB5" s="2"/>
      <c r="OMD5" s="2"/>
      <c r="OMF5" s="2"/>
      <c r="OMH5" s="2"/>
      <c r="OMJ5" s="2"/>
      <c r="OML5" s="2"/>
      <c r="OMN5" s="2"/>
      <c r="OMP5" s="2"/>
      <c r="OMR5" s="2"/>
      <c r="OMT5" s="2"/>
      <c r="OMV5" s="2"/>
      <c r="OMX5" s="2"/>
      <c r="OMZ5" s="2"/>
      <c r="ONB5" s="2"/>
      <c r="OND5" s="2"/>
      <c r="ONF5" s="2"/>
      <c r="ONH5" s="2"/>
      <c r="ONJ5" s="2"/>
      <c r="ONL5" s="2"/>
      <c r="ONN5" s="2"/>
      <c r="ONP5" s="2"/>
      <c r="ONR5" s="2"/>
      <c r="ONT5" s="2"/>
      <c r="ONV5" s="2"/>
      <c r="ONX5" s="2"/>
      <c r="ONZ5" s="2"/>
      <c r="OOB5" s="2"/>
      <c r="OOD5" s="2"/>
      <c r="OOF5" s="2"/>
      <c r="OOH5" s="2"/>
      <c r="OOJ5" s="2"/>
      <c r="OOL5" s="2"/>
      <c r="OON5" s="2"/>
      <c r="OOP5" s="2"/>
      <c r="OOR5" s="2"/>
      <c r="OOT5" s="2"/>
      <c r="OOV5" s="2"/>
      <c r="OOX5" s="2"/>
      <c r="OOZ5" s="2"/>
      <c r="OPB5" s="2"/>
      <c r="OPD5" s="2"/>
      <c r="OPF5" s="2"/>
      <c r="OPH5" s="2"/>
      <c r="OPJ5" s="2"/>
      <c r="OPL5" s="2"/>
      <c r="OPN5" s="2"/>
      <c r="OPP5" s="2"/>
      <c r="OPR5" s="2"/>
      <c r="OPT5" s="2"/>
      <c r="OPV5" s="2"/>
      <c r="OPX5" s="2"/>
      <c r="OPZ5" s="2"/>
      <c r="OQB5" s="2"/>
      <c r="OQD5" s="2"/>
      <c r="OQF5" s="2"/>
      <c r="OQH5" s="2"/>
      <c r="OQJ5" s="2"/>
      <c r="OQL5" s="2"/>
      <c r="OQN5" s="2"/>
      <c r="OQP5" s="2"/>
      <c r="OQR5" s="2"/>
      <c r="OQT5" s="2"/>
      <c r="OQV5" s="2"/>
      <c r="OQX5" s="2"/>
      <c r="OQZ5" s="2"/>
      <c r="ORB5" s="2"/>
      <c r="ORD5" s="2"/>
      <c r="ORF5" s="2"/>
      <c r="ORH5" s="2"/>
      <c r="ORJ5" s="2"/>
      <c r="ORL5" s="2"/>
      <c r="ORN5" s="2"/>
      <c r="ORP5" s="2"/>
      <c r="ORR5" s="2"/>
      <c r="ORT5" s="2"/>
      <c r="ORV5" s="2"/>
      <c r="ORX5" s="2"/>
      <c r="ORZ5" s="2"/>
      <c r="OSB5" s="2"/>
      <c r="OSD5" s="2"/>
      <c r="OSF5" s="2"/>
      <c r="OSH5" s="2"/>
      <c r="OSJ5" s="2"/>
      <c r="OSL5" s="2"/>
      <c r="OSN5" s="2"/>
      <c r="OSP5" s="2"/>
      <c r="OSR5" s="2"/>
      <c r="OST5" s="2"/>
      <c r="OSV5" s="2"/>
      <c r="OSX5" s="2"/>
      <c r="OSZ5" s="2"/>
      <c r="OTB5" s="2"/>
      <c r="OTD5" s="2"/>
      <c r="OTF5" s="2"/>
      <c r="OTH5" s="2"/>
      <c r="OTJ5" s="2"/>
      <c r="OTL5" s="2"/>
      <c r="OTN5" s="2"/>
      <c r="OTP5" s="2"/>
      <c r="OTR5" s="2"/>
      <c r="OTT5" s="2"/>
      <c r="OTV5" s="2"/>
      <c r="OTX5" s="2"/>
      <c r="OTZ5" s="2"/>
      <c r="OUB5" s="2"/>
      <c r="OUD5" s="2"/>
      <c r="OUF5" s="2"/>
      <c r="OUH5" s="2"/>
      <c r="OUJ5" s="2"/>
      <c r="OUL5" s="2"/>
      <c r="OUN5" s="2"/>
      <c r="OUP5" s="2"/>
      <c r="OUR5" s="2"/>
      <c r="OUT5" s="2"/>
      <c r="OUV5" s="2"/>
      <c r="OUX5" s="2"/>
      <c r="OUZ5" s="2"/>
      <c r="OVB5" s="2"/>
      <c r="OVD5" s="2"/>
      <c r="OVF5" s="2"/>
      <c r="OVH5" s="2"/>
      <c r="OVJ5" s="2"/>
      <c r="OVL5" s="2"/>
      <c r="OVN5" s="2"/>
      <c r="OVP5" s="2"/>
      <c r="OVR5" s="2"/>
      <c r="OVT5" s="2"/>
      <c r="OVV5" s="2"/>
      <c r="OVX5" s="2"/>
      <c r="OVZ5" s="2"/>
      <c r="OWB5" s="2"/>
      <c r="OWD5" s="2"/>
      <c r="OWF5" s="2"/>
      <c r="OWH5" s="2"/>
      <c r="OWJ5" s="2"/>
      <c r="OWL5" s="2"/>
      <c r="OWN5" s="2"/>
      <c r="OWP5" s="2"/>
      <c r="OWR5" s="2"/>
      <c r="OWT5" s="2"/>
      <c r="OWV5" s="2"/>
      <c r="OWX5" s="2"/>
      <c r="OWZ5" s="2"/>
      <c r="OXB5" s="2"/>
      <c r="OXD5" s="2"/>
      <c r="OXF5" s="2"/>
      <c r="OXH5" s="2"/>
      <c r="OXJ5" s="2"/>
      <c r="OXL5" s="2"/>
      <c r="OXN5" s="2"/>
      <c r="OXP5" s="2"/>
      <c r="OXR5" s="2"/>
      <c r="OXT5" s="2"/>
      <c r="OXV5" s="2"/>
      <c r="OXX5" s="2"/>
      <c r="OXZ5" s="2"/>
      <c r="OYB5" s="2"/>
      <c r="OYD5" s="2"/>
      <c r="OYF5" s="2"/>
      <c r="OYH5" s="2"/>
      <c r="OYJ5" s="2"/>
      <c r="OYL5" s="2"/>
      <c r="OYN5" s="2"/>
      <c r="OYP5" s="2"/>
      <c r="OYR5" s="2"/>
      <c r="OYT5" s="2"/>
      <c r="OYV5" s="2"/>
      <c r="OYX5" s="2"/>
      <c r="OYZ5" s="2"/>
      <c r="OZB5" s="2"/>
      <c r="OZD5" s="2"/>
      <c r="OZF5" s="2"/>
      <c r="OZH5" s="2"/>
      <c r="OZJ5" s="2"/>
      <c r="OZL5" s="2"/>
      <c r="OZN5" s="2"/>
      <c r="OZP5" s="2"/>
      <c r="OZR5" s="2"/>
      <c r="OZT5" s="2"/>
      <c r="OZV5" s="2"/>
      <c r="OZX5" s="2"/>
      <c r="OZZ5" s="2"/>
      <c r="PAB5" s="2"/>
      <c r="PAD5" s="2"/>
      <c r="PAF5" s="2"/>
      <c r="PAH5" s="2"/>
      <c r="PAJ5" s="2"/>
      <c r="PAL5" s="2"/>
      <c r="PAN5" s="2"/>
      <c r="PAP5" s="2"/>
      <c r="PAR5" s="2"/>
      <c r="PAT5" s="2"/>
      <c r="PAV5" s="2"/>
      <c r="PAX5" s="2"/>
      <c r="PAZ5" s="2"/>
      <c r="PBB5" s="2"/>
      <c r="PBD5" s="2"/>
      <c r="PBF5" s="2"/>
      <c r="PBH5" s="2"/>
      <c r="PBJ5" s="2"/>
      <c r="PBL5" s="2"/>
      <c r="PBN5" s="2"/>
      <c r="PBP5" s="2"/>
      <c r="PBR5" s="2"/>
      <c r="PBT5" s="2"/>
      <c r="PBV5" s="2"/>
      <c r="PBX5" s="2"/>
      <c r="PBZ5" s="2"/>
      <c r="PCB5" s="2"/>
      <c r="PCD5" s="2"/>
      <c r="PCF5" s="2"/>
      <c r="PCH5" s="2"/>
      <c r="PCJ5" s="2"/>
      <c r="PCL5" s="2"/>
      <c r="PCN5" s="2"/>
      <c r="PCP5" s="2"/>
      <c r="PCR5" s="2"/>
      <c r="PCT5" s="2"/>
      <c r="PCV5" s="2"/>
      <c r="PCX5" s="2"/>
      <c r="PCZ5" s="2"/>
      <c r="PDB5" s="2"/>
      <c r="PDD5" s="2"/>
      <c r="PDF5" s="2"/>
      <c r="PDH5" s="2"/>
      <c r="PDJ5" s="2"/>
      <c r="PDL5" s="2"/>
      <c r="PDN5" s="2"/>
      <c r="PDP5" s="2"/>
      <c r="PDR5" s="2"/>
      <c r="PDT5" s="2"/>
      <c r="PDV5" s="2"/>
      <c r="PDX5" s="2"/>
      <c r="PDZ5" s="2"/>
      <c r="PEB5" s="2"/>
      <c r="PED5" s="2"/>
      <c r="PEF5" s="2"/>
      <c r="PEH5" s="2"/>
      <c r="PEJ5" s="2"/>
      <c r="PEL5" s="2"/>
      <c r="PEN5" s="2"/>
      <c r="PEP5" s="2"/>
      <c r="PER5" s="2"/>
      <c r="PET5" s="2"/>
      <c r="PEV5" s="2"/>
      <c r="PEX5" s="2"/>
      <c r="PEZ5" s="2"/>
      <c r="PFB5" s="2"/>
      <c r="PFD5" s="2"/>
      <c r="PFF5" s="2"/>
      <c r="PFH5" s="2"/>
      <c r="PFJ5" s="2"/>
      <c r="PFL5" s="2"/>
      <c r="PFN5" s="2"/>
      <c r="PFP5" s="2"/>
      <c r="PFR5" s="2"/>
      <c r="PFT5" s="2"/>
      <c r="PFV5" s="2"/>
      <c r="PFX5" s="2"/>
      <c r="PFZ5" s="2"/>
      <c r="PGB5" s="2"/>
      <c r="PGD5" s="2"/>
      <c r="PGF5" s="2"/>
      <c r="PGH5" s="2"/>
      <c r="PGJ5" s="2"/>
      <c r="PGL5" s="2"/>
      <c r="PGN5" s="2"/>
      <c r="PGP5" s="2"/>
      <c r="PGR5" s="2"/>
      <c r="PGT5" s="2"/>
      <c r="PGV5" s="2"/>
      <c r="PGX5" s="2"/>
      <c r="PGZ5" s="2"/>
      <c r="PHB5" s="2"/>
      <c r="PHD5" s="2"/>
      <c r="PHF5" s="2"/>
      <c r="PHH5" s="2"/>
      <c r="PHJ5" s="2"/>
      <c r="PHL5" s="2"/>
      <c r="PHN5" s="2"/>
      <c r="PHP5" s="2"/>
      <c r="PHR5" s="2"/>
      <c r="PHT5" s="2"/>
      <c r="PHV5" s="2"/>
      <c r="PHX5" s="2"/>
      <c r="PHZ5" s="2"/>
      <c r="PIB5" s="2"/>
      <c r="PID5" s="2"/>
      <c r="PIF5" s="2"/>
      <c r="PIH5" s="2"/>
      <c r="PIJ5" s="2"/>
      <c r="PIL5" s="2"/>
      <c r="PIN5" s="2"/>
      <c r="PIP5" s="2"/>
      <c r="PIR5" s="2"/>
      <c r="PIT5" s="2"/>
      <c r="PIV5" s="2"/>
      <c r="PIX5" s="2"/>
      <c r="PIZ5" s="2"/>
      <c r="PJB5" s="2"/>
      <c r="PJD5" s="2"/>
      <c r="PJF5" s="2"/>
      <c r="PJH5" s="2"/>
      <c r="PJJ5" s="2"/>
      <c r="PJL5" s="2"/>
      <c r="PJN5" s="2"/>
      <c r="PJP5" s="2"/>
      <c r="PJR5" s="2"/>
      <c r="PJT5" s="2"/>
      <c r="PJV5" s="2"/>
      <c r="PJX5" s="2"/>
      <c r="PJZ5" s="2"/>
      <c r="PKB5" s="2"/>
      <c r="PKD5" s="2"/>
      <c r="PKF5" s="2"/>
      <c r="PKH5" s="2"/>
      <c r="PKJ5" s="2"/>
      <c r="PKL5" s="2"/>
      <c r="PKN5" s="2"/>
      <c r="PKP5" s="2"/>
      <c r="PKR5" s="2"/>
      <c r="PKT5" s="2"/>
      <c r="PKV5" s="2"/>
      <c r="PKX5" s="2"/>
      <c r="PKZ5" s="2"/>
      <c r="PLB5" s="2"/>
      <c r="PLD5" s="2"/>
      <c r="PLF5" s="2"/>
      <c r="PLH5" s="2"/>
      <c r="PLJ5" s="2"/>
      <c r="PLL5" s="2"/>
      <c r="PLN5" s="2"/>
      <c r="PLP5" s="2"/>
      <c r="PLR5" s="2"/>
      <c r="PLT5" s="2"/>
      <c r="PLV5" s="2"/>
      <c r="PLX5" s="2"/>
      <c r="PLZ5" s="2"/>
      <c r="PMB5" s="2"/>
      <c r="PMD5" s="2"/>
      <c r="PMF5" s="2"/>
      <c r="PMH5" s="2"/>
      <c r="PMJ5" s="2"/>
      <c r="PML5" s="2"/>
      <c r="PMN5" s="2"/>
      <c r="PMP5" s="2"/>
      <c r="PMR5" s="2"/>
      <c r="PMT5" s="2"/>
      <c r="PMV5" s="2"/>
      <c r="PMX5" s="2"/>
      <c r="PMZ5" s="2"/>
      <c r="PNB5" s="2"/>
      <c r="PND5" s="2"/>
      <c r="PNF5" s="2"/>
      <c r="PNH5" s="2"/>
      <c r="PNJ5" s="2"/>
      <c r="PNL5" s="2"/>
      <c r="PNN5" s="2"/>
      <c r="PNP5" s="2"/>
      <c r="PNR5" s="2"/>
      <c r="PNT5" s="2"/>
      <c r="PNV5" s="2"/>
      <c r="PNX5" s="2"/>
      <c r="PNZ5" s="2"/>
      <c r="POB5" s="2"/>
      <c r="POD5" s="2"/>
      <c r="POF5" s="2"/>
      <c r="POH5" s="2"/>
      <c r="POJ5" s="2"/>
      <c r="POL5" s="2"/>
      <c r="PON5" s="2"/>
      <c r="POP5" s="2"/>
      <c r="POR5" s="2"/>
      <c r="POT5" s="2"/>
      <c r="POV5" s="2"/>
      <c r="POX5" s="2"/>
      <c r="POZ5" s="2"/>
      <c r="PPB5" s="2"/>
      <c r="PPD5" s="2"/>
      <c r="PPF5" s="2"/>
      <c r="PPH5" s="2"/>
      <c r="PPJ5" s="2"/>
      <c r="PPL5" s="2"/>
      <c r="PPN5" s="2"/>
      <c r="PPP5" s="2"/>
      <c r="PPR5" s="2"/>
      <c r="PPT5" s="2"/>
      <c r="PPV5" s="2"/>
      <c r="PPX5" s="2"/>
      <c r="PPZ5" s="2"/>
      <c r="PQB5" s="2"/>
      <c r="PQD5" s="2"/>
      <c r="PQF5" s="2"/>
      <c r="PQH5" s="2"/>
      <c r="PQJ5" s="2"/>
      <c r="PQL5" s="2"/>
      <c r="PQN5" s="2"/>
      <c r="PQP5" s="2"/>
      <c r="PQR5" s="2"/>
      <c r="PQT5" s="2"/>
      <c r="PQV5" s="2"/>
      <c r="PQX5" s="2"/>
      <c r="PQZ5" s="2"/>
      <c r="PRB5" s="2"/>
      <c r="PRD5" s="2"/>
      <c r="PRF5" s="2"/>
      <c r="PRH5" s="2"/>
      <c r="PRJ5" s="2"/>
      <c r="PRL5" s="2"/>
      <c r="PRN5" s="2"/>
      <c r="PRP5" s="2"/>
      <c r="PRR5" s="2"/>
      <c r="PRT5" s="2"/>
      <c r="PRV5" s="2"/>
      <c r="PRX5" s="2"/>
      <c r="PRZ5" s="2"/>
      <c r="PSB5" s="2"/>
      <c r="PSD5" s="2"/>
      <c r="PSF5" s="2"/>
      <c r="PSH5" s="2"/>
      <c r="PSJ5" s="2"/>
      <c r="PSL5" s="2"/>
      <c r="PSN5" s="2"/>
      <c r="PSP5" s="2"/>
      <c r="PSR5" s="2"/>
      <c r="PST5" s="2"/>
      <c r="PSV5" s="2"/>
      <c r="PSX5" s="2"/>
      <c r="PSZ5" s="2"/>
      <c r="PTB5" s="2"/>
      <c r="PTD5" s="2"/>
      <c r="PTF5" s="2"/>
      <c r="PTH5" s="2"/>
      <c r="PTJ5" s="2"/>
      <c r="PTL5" s="2"/>
      <c r="PTN5" s="2"/>
      <c r="PTP5" s="2"/>
      <c r="PTR5" s="2"/>
      <c r="PTT5" s="2"/>
      <c r="PTV5" s="2"/>
      <c r="PTX5" s="2"/>
      <c r="PTZ5" s="2"/>
      <c r="PUB5" s="2"/>
      <c r="PUD5" s="2"/>
      <c r="PUF5" s="2"/>
      <c r="PUH5" s="2"/>
      <c r="PUJ5" s="2"/>
      <c r="PUL5" s="2"/>
      <c r="PUN5" s="2"/>
      <c r="PUP5" s="2"/>
      <c r="PUR5" s="2"/>
      <c r="PUT5" s="2"/>
      <c r="PUV5" s="2"/>
      <c r="PUX5" s="2"/>
      <c r="PUZ5" s="2"/>
      <c r="PVB5" s="2"/>
      <c r="PVD5" s="2"/>
      <c r="PVF5" s="2"/>
      <c r="PVH5" s="2"/>
      <c r="PVJ5" s="2"/>
      <c r="PVL5" s="2"/>
      <c r="PVN5" s="2"/>
      <c r="PVP5" s="2"/>
      <c r="PVR5" s="2"/>
      <c r="PVT5" s="2"/>
      <c r="PVV5" s="2"/>
      <c r="PVX5" s="2"/>
      <c r="PVZ5" s="2"/>
      <c r="PWB5" s="2"/>
      <c r="PWD5" s="2"/>
      <c r="PWF5" s="2"/>
      <c r="PWH5" s="2"/>
      <c r="PWJ5" s="2"/>
      <c r="PWL5" s="2"/>
      <c r="PWN5" s="2"/>
      <c r="PWP5" s="2"/>
      <c r="PWR5" s="2"/>
      <c r="PWT5" s="2"/>
      <c r="PWV5" s="2"/>
      <c r="PWX5" s="2"/>
      <c r="PWZ5" s="2"/>
      <c r="PXB5" s="2"/>
      <c r="PXD5" s="2"/>
      <c r="PXF5" s="2"/>
      <c r="PXH5" s="2"/>
      <c r="PXJ5" s="2"/>
      <c r="PXL5" s="2"/>
      <c r="PXN5" s="2"/>
      <c r="PXP5" s="2"/>
      <c r="PXR5" s="2"/>
      <c r="PXT5" s="2"/>
      <c r="PXV5" s="2"/>
      <c r="PXX5" s="2"/>
      <c r="PXZ5" s="2"/>
      <c r="PYB5" s="2"/>
      <c r="PYD5" s="2"/>
      <c r="PYF5" s="2"/>
      <c r="PYH5" s="2"/>
      <c r="PYJ5" s="2"/>
      <c r="PYL5" s="2"/>
      <c r="PYN5" s="2"/>
      <c r="PYP5" s="2"/>
      <c r="PYR5" s="2"/>
      <c r="PYT5" s="2"/>
      <c r="PYV5" s="2"/>
      <c r="PYX5" s="2"/>
      <c r="PYZ5" s="2"/>
      <c r="PZB5" s="2"/>
      <c r="PZD5" s="2"/>
      <c r="PZF5" s="2"/>
      <c r="PZH5" s="2"/>
      <c r="PZJ5" s="2"/>
      <c r="PZL5" s="2"/>
      <c r="PZN5" s="2"/>
      <c r="PZP5" s="2"/>
      <c r="PZR5" s="2"/>
      <c r="PZT5" s="2"/>
      <c r="PZV5" s="2"/>
      <c r="PZX5" s="2"/>
      <c r="PZZ5" s="2"/>
      <c r="QAB5" s="2"/>
      <c r="QAD5" s="2"/>
      <c r="QAF5" s="2"/>
      <c r="QAH5" s="2"/>
      <c r="QAJ5" s="2"/>
      <c r="QAL5" s="2"/>
      <c r="QAN5" s="2"/>
      <c r="QAP5" s="2"/>
      <c r="QAR5" s="2"/>
      <c r="QAT5" s="2"/>
      <c r="QAV5" s="2"/>
      <c r="QAX5" s="2"/>
      <c r="QAZ5" s="2"/>
      <c r="QBB5" s="2"/>
      <c r="QBD5" s="2"/>
      <c r="QBF5" s="2"/>
      <c r="QBH5" s="2"/>
      <c r="QBJ5" s="2"/>
      <c r="QBL5" s="2"/>
      <c r="QBN5" s="2"/>
      <c r="QBP5" s="2"/>
      <c r="QBR5" s="2"/>
      <c r="QBT5" s="2"/>
      <c r="QBV5" s="2"/>
      <c r="QBX5" s="2"/>
      <c r="QBZ5" s="2"/>
      <c r="QCB5" s="2"/>
      <c r="QCD5" s="2"/>
      <c r="QCF5" s="2"/>
      <c r="QCH5" s="2"/>
      <c r="QCJ5" s="2"/>
      <c r="QCL5" s="2"/>
      <c r="QCN5" s="2"/>
      <c r="QCP5" s="2"/>
      <c r="QCR5" s="2"/>
      <c r="QCT5" s="2"/>
      <c r="QCV5" s="2"/>
      <c r="QCX5" s="2"/>
      <c r="QCZ5" s="2"/>
      <c r="QDB5" s="2"/>
      <c r="QDD5" s="2"/>
      <c r="QDF5" s="2"/>
      <c r="QDH5" s="2"/>
      <c r="QDJ5" s="2"/>
      <c r="QDL5" s="2"/>
      <c r="QDN5" s="2"/>
      <c r="QDP5" s="2"/>
      <c r="QDR5" s="2"/>
      <c r="QDT5" s="2"/>
      <c r="QDV5" s="2"/>
      <c r="QDX5" s="2"/>
      <c r="QDZ5" s="2"/>
      <c r="QEB5" s="2"/>
      <c r="QED5" s="2"/>
      <c r="QEF5" s="2"/>
      <c r="QEH5" s="2"/>
      <c r="QEJ5" s="2"/>
      <c r="QEL5" s="2"/>
      <c r="QEN5" s="2"/>
      <c r="QEP5" s="2"/>
      <c r="QER5" s="2"/>
      <c r="QET5" s="2"/>
      <c r="QEV5" s="2"/>
      <c r="QEX5" s="2"/>
      <c r="QEZ5" s="2"/>
      <c r="QFB5" s="2"/>
      <c r="QFD5" s="2"/>
      <c r="QFF5" s="2"/>
      <c r="QFH5" s="2"/>
      <c r="QFJ5" s="2"/>
      <c r="QFL5" s="2"/>
      <c r="QFN5" s="2"/>
      <c r="QFP5" s="2"/>
      <c r="QFR5" s="2"/>
      <c r="QFT5" s="2"/>
      <c r="QFV5" s="2"/>
      <c r="QFX5" s="2"/>
      <c r="QFZ5" s="2"/>
      <c r="QGB5" s="2"/>
      <c r="QGD5" s="2"/>
      <c r="QGF5" s="2"/>
      <c r="QGH5" s="2"/>
      <c r="QGJ5" s="2"/>
      <c r="QGL5" s="2"/>
      <c r="QGN5" s="2"/>
      <c r="QGP5" s="2"/>
      <c r="QGR5" s="2"/>
      <c r="QGT5" s="2"/>
      <c r="QGV5" s="2"/>
      <c r="QGX5" s="2"/>
      <c r="QGZ5" s="2"/>
      <c r="QHB5" s="2"/>
      <c r="QHD5" s="2"/>
      <c r="QHF5" s="2"/>
      <c r="QHH5" s="2"/>
      <c r="QHJ5" s="2"/>
      <c r="QHL5" s="2"/>
      <c r="QHN5" s="2"/>
      <c r="QHP5" s="2"/>
      <c r="QHR5" s="2"/>
      <c r="QHT5" s="2"/>
      <c r="QHV5" s="2"/>
      <c r="QHX5" s="2"/>
      <c r="QHZ5" s="2"/>
      <c r="QIB5" s="2"/>
      <c r="QID5" s="2"/>
      <c r="QIF5" s="2"/>
      <c r="QIH5" s="2"/>
      <c r="QIJ5" s="2"/>
      <c r="QIL5" s="2"/>
      <c r="QIN5" s="2"/>
      <c r="QIP5" s="2"/>
      <c r="QIR5" s="2"/>
      <c r="QIT5" s="2"/>
      <c r="QIV5" s="2"/>
      <c r="QIX5" s="2"/>
      <c r="QIZ5" s="2"/>
      <c r="QJB5" s="2"/>
      <c r="QJD5" s="2"/>
      <c r="QJF5" s="2"/>
      <c r="QJH5" s="2"/>
      <c r="QJJ5" s="2"/>
      <c r="QJL5" s="2"/>
      <c r="QJN5" s="2"/>
      <c r="QJP5" s="2"/>
      <c r="QJR5" s="2"/>
      <c r="QJT5" s="2"/>
      <c r="QJV5" s="2"/>
      <c r="QJX5" s="2"/>
      <c r="QJZ5" s="2"/>
      <c r="QKB5" s="2"/>
      <c r="QKD5" s="2"/>
      <c r="QKF5" s="2"/>
      <c r="QKH5" s="2"/>
      <c r="QKJ5" s="2"/>
      <c r="QKL5" s="2"/>
      <c r="QKN5" s="2"/>
      <c r="QKP5" s="2"/>
      <c r="QKR5" s="2"/>
      <c r="QKT5" s="2"/>
      <c r="QKV5" s="2"/>
      <c r="QKX5" s="2"/>
      <c r="QKZ5" s="2"/>
      <c r="QLB5" s="2"/>
      <c r="QLD5" s="2"/>
      <c r="QLF5" s="2"/>
      <c r="QLH5" s="2"/>
      <c r="QLJ5" s="2"/>
      <c r="QLL5" s="2"/>
      <c r="QLN5" s="2"/>
      <c r="QLP5" s="2"/>
      <c r="QLR5" s="2"/>
      <c r="QLT5" s="2"/>
      <c r="QLV5" s="2"/>
      <c r="QLX5" s="2"/>
      <c r="QLZ5" s="2"/>
      <c r="QMB5" s="2"/>
      <c r="QMD5" s="2"/>
      <c r="QMF5" s="2"/>
      <c r="QMH5" s="2"/>
      <c r="QMJ5" s="2"/>
      <c r="QML5" s="2"/>
      <c r="QMN5" s="2"/>
      <c r="QMP5" s="2"/>
      <c r="QMR5" s="2"/>
      <c r="QMT5" s="2"/>
      <c r="QMV5" s="2"/>
      <c r="QMX5" s="2"/>
      <c r="QMZ5" s="2"/>
      <c r="QNB5" s="2"/>
      <c r="QND5" s="2"/>
      <c r="QNF5" s="2"/>
      <c r="QNH5" s="2"/>
      <c r="QNJ5" s="2"/>
      <c r="QNL5" s="2"/>
      <c r="QNN5" s="2"/>
      <c r="QNP5" s="2"/>
      <c r="QNR5" s="2"/>
      <c r="QNT5" s="2"/>
      <c r="QNV5" s="2"/>
      <c r="QNX5" s="2"/>
      <c r="QNZ5" s="2"/>
      <c r="QOB5" s="2"/>
      <c r="QOD5" s="2"/>
      <c r="QOF5" s="2"/>
      <c r="QOH5" s="2"/>
      <c r="QOJ5" s="2"/>
      <c r="QOL5" s="2"/>
      <c r="QON5" s="2"/>
      <c r="QOP5" s="2"/>
      <c r="QOR5" s="2"/>
      <c r="QOT5" s="2"/>
      <c r="QOV5" s="2"/>
      <c r="QOX5" s="2"/>
      <c r="QOZ5" s="2"/>
      <c r="QPB5" s="2"/>
      <c r="QPD5" s="2"/>
      <c r="QPF5" s="2"/>
      <c r="QPH5" s="2"/>
      <c r="QPJ5" s="2"/>
      <c r="QPL5" s="2"/>
      <c r="QPN5" s="2"/>
      <c r="QPP5" s="2"/>
      <c r="QPR5" s="2"/>
      <c r="QPT5" s="2"/>
      <c r="QPV5" s="2"/>
      <c r="QPX5" s="2"/>
      <c r="QPZ5" s="2"/>
      <c r="QQB5" s="2"/>
      <c r="QQD5" s="2"/>
      <c r="QQF5" s="2"/>
      <c r="QQH5" s="2"/>
      <c r="QQJ5" s="2"/>
      <c r="QQL5" s="2"/>
      <c r="QQN5" s="2"/>
      <c r="QQP5" s="2"/>
      <c r="QQR5" s="2"/>
      <c r="QQT5" s="2"/>
      <c r="QQV5" s="2"/>
      <c r="QQX5" s="2"/>
      <c r="QQZ5" s="2"/>
      <c r="QRB5" s="2"/>
      <c r="QRD5" s="2"/>
      <c r="QRF5" s="2"/>
      <c r="QRH5" s="2"/>
      <c r="QRJ5" s="2"/>
      <c r="QRL5" s="2"/>
      <c r="QRN5" s="2"/>
      <c r="QRP5" s="2"/>
      <c r="QRR5" s="2"/>
      <c r="QRT5" s="2"/>
      <c r="QRV5" s="2"/>
      <c r="QRX5" s="2"/>
      <c r="QRZ5" s="2"/>
      <c r="QSB5" s="2"/>
      <c r="QSD5" s="2"/>
      <c r="QSF5" s="2"/>
      <c r="QSH5" s="2"/>
      <c r="QSJ5" s="2"/>
      <c r="QSL5" s="2"/>
      <c r="QSN5" s="2"/>
      <c r="QSP5" s="2"/>
      <c r="QSR5" s="2"/>
      <c r="QST5" s="2"/>
      <c r="QSV5" s="2"/>
      <c r="QSX5" s="2"/>
      <c r="QSZ5" s="2"/>
      <c r="QTB5" s="2"/>
      <c r="QTD5" s="2"/>
      <c r="QTF5" s="2"/>
      <c r="QTH5" s="2"/>
      <c r="QTJ5" s="2"/>
      <c r="QTL5" s="2"/>
      <c r="QTN5" s="2"/>
      <c r="QTP5" s="2"/>
      <c r="QTR5" s="2"/>
      <c r="QTT5" s="2"/>
      <c r="QTV5" s="2"/>
      <c r="QTX5" s="2"/>
      <c r="QTZ5" s="2"/>
      <c r="QUB5" s="2"/>
      <c r="QUD5" s="2"/>
      <c r="QUF5" s="2"/>
      <c r="QUH5" s="2"/>
      <c r="QUJ5" s="2"/>
      <c r="QUL5" s="2"/>
      <c r="QUN5" s="2"/>
      <c r="QUP5" s="2"/>
      <c r="QUR5" s="2"/>
      <c r="QUT5" s="2"/>
      <c r="QUV5" s="2"/>
      <c r="QUX5" s="2"/>
      <c r="QUZ5" s="2"/>
      <c r="QVB5" s="2"/>
      <c r="QVD5" s="2"/>
      <c r="QVF5" s="2"/>
      <c r="QVH5" s="2"/>
      <c r="QVJ5" s="2"/>
      <c r="QVL5" s="2"/>
      <c r="QVN5" s="2"/>
      <c r="QVP5" s="2"/>
      <c r="QVR5" s="2"/>
      <c r="QVT5" s="2"/>
      <c r="QVV5" s="2"/>
      <c r="QVX5" s="2"/>
      <c r="QVZ5" s="2"/>
      <c r="QWB5" s="2"/>
      <c r="QWD5" s="2"/>
      <c r="QWF5" s="2"/>
      <c r="QWH5" s="2"/>
      <c r="QWJ5" s="2"/>
      <c r="QWL5" s="2"/>
      <c r="QWN5" s="2"/>
      <c r="QWP5" s="2"/>
      <c r="QWR5" s="2"/>
      <c r="QWT5" s="2"/>
      <c r="QWV5" s="2"/>
      <c r="QWX5" s="2"/>
      <c r="QWZ5" s="2"/>
      <c r="QXB5" s="2"/>
      <c r="QXD5" s="2"/>
      <c r="QXF5" s="2"/>
      <c r="QXH5" s="2"/>
      <c r="QXJ5" s="2"/>
      <c r="QXL5" s="2"/>
      <c r="QXN5" s="2"/>
      <c r="QXP5" s="2"/>
      <c r="QXR5" s="2"/>
      <c r="QXT5" s="2"/>
      <c r="QXV5" s="2"/>
      <c r="QXX5" s="2"/>
      <c r="QXZ5" s="2"/>
      <c r="QYB5" s="2"/>
      <c r="QYD5" s="2"/>
      <c r="QYF5" s="2"/>
      <c r="QYH5" s="2"/>
      <c r="QYJ5" s="2"/>
      <c r="QYL5" s="2"/>
      <c r="QYN5" s="2"/>
      <c r="QYP5" s="2"/>
      <c r="QYR5" s="2"/>
      <c r="QYT5" s="2"/>
      <c r="QYV5" s="2"/>
      <c r="QYX5" s="2"/>
      <c r="QYZ5" s="2"/>
      <c r="QZB5" s="2"/>
      <c r="QZD5" s="2"/>
      <c r="QZF5" s="2"/>
      <c r="QZH5" s="2"/>
      <c r="QZJ5" s="2"/>
      <c r="QZL5" s="2"/>
      <c r="QZN5" s="2"/>
      <c r="QZP5" s="2"/>
      <c r="QZR5" s="2"/>
      <c r="QZT5" s="2"/>
      <c r="QZV5" s="2"/>
      <c r="QZX5" s="2"/>
      <c r="QZZ5" s="2"/>
      <c r="RAB5" s="2"/>
      <c r="RAD5" s="2"/>
      <c r="RAF5" s="2"/>
      <c r="RAH5" s="2"/>
      <c r="RAJ5" s="2"/>
      <c r="RAL5" s="2"/>
      <c r="RAN5" s="2"/>
      <c r="RAP5" s="2"/>
      <c r="RAR5" s="2"/>
      <c r="RAT5" s="2"/>
      <c r="RAV5" s="2"/>
      <c r="RAX5" s="2"/>
      <c r="RAZ5" s="2"/>
      <c r="RBB5" s="2"/>
      <c r="RBD5" s="2"/>
      <c r="RBF5" s="2"/>
      <c r="RBH5" s="2"/>
      <c r="RBJ5" s="2"/>
      <c r="RBL5" s="2"/>
      <c r="RBN5" s="2"/>
      <c r="RBP5" s="2"/>
      <c r="RBR5" s="2"/>
      <c r="RBT5" s="2"/>
      <c r="RBV5" s="2"/>
      <c r="RBX5" s="2"/>
      <c r="RBZ5" s="2"/>
      <c r="RCB5" s="2"/>
      <c r="RCD5" s="2"/>
      <c r="RCF5" s="2"/>
      <c r="RCH5" s="2"/>
      <c r="RCJ5" s="2"/>
      <c r="RCL5" s="2"/>
      <c r="RCN5" s="2"/>
      <c r="RCP5" s="2"/>
      <c r="RCR5" s="2"/>
      <c r="RCT5" s="2"/>
      <c r="RCV5" s="2"/>
      <c r="RCX5" s="2"/>
      <c r="RCZ5" s="2"/>
      <c r="RDB5" s="2"/>
      <c r="RDD5" s="2"/>
      <c r="RDF5" s="2"/>
      <c r="RDH5" s="2"/>
      <c r="RDJ5" s="2"/>
      <c r="RDL5" s="2"/>
      <c r="RDN5" s="2"/>
      <c r="RDP5" s="2"/>
      <c r="RDR5" s="2"/>
      <c r="RDT5" s="2"/>
      <c r="RDV5" s="2"/>
      <c r="RDX5" s="2"/>
      <c r="RDZ5" s="2"/>
      <c r="REB5" s="2"/>
      <c r="RED5" s="2"/>
      <c r="REF5" s="2"/>
      <c r="REH5" s="2"/>
      <c r="REJ5" s="2"/>
      <c r="REL5" s="2"/>
      <c r="REN5" s="2"/>
      <c r="REP5" s="2"/>
      <c r="RER5" s="2"/>
      <c r="RET5" s="2"/>
      <c r="REV5" s="2"/>
      <c r="REX5" s="2"/>
      <c r="REZ5" s="2"/>
      <c r="RFB5" s="2"/>
      <c r="RFD5" s="2"/>
      <c r="RFF5" s="2"/>
      <c r="RFH5" s="2"/>
      <c r="RFJ5" s="2"/>
      <c r="RFL5" s="2"/>
      <c r="RFN5" s="2"/>
      <c r="RFP5" s="2"/>
      <c r="RFR5" s="2"/>
      <c r="RFT5" s="2"/>
      <c r="RFV5" s="2"/>
      <c r="RFX5" s="2"/>
      <c r="RFZ5" s="2"/>
      <c r="RGB5" s="2"/>
      <c r="RGD5" s="2"/>
      <c r="RGF5" s="2"/>
      <c r="RGH5" s="2"/>
      <c r="RGJ5" s="2"/>
      <c r="RGL5" s="2"/>
      <c r="RGN5" s="2"/>
      <c r="RGP5" s="2"/>
      <c r="RGR5" s="2"/>
      <c r="RGT5" s="2"/>
      <c r="RGV5" s="2"/>
      <c r="RGX5" s="2"/>
      <c r="RGZ5" s="2"/>
      <c r="RHB5" s="2"/>
      <c r="RHD5" s="2"/>
      <c r="RHF5" s="2"/>
      <c r="RHH5" s="2"/>
      <c r="RHJ5" s="2"/>
      <c r="RHL5" s="2"/>
      <c r="RHN5" s="2"/>
      <c r="RHP5" s="2"/>
      <c r="RHR5" s="2"/>
      <c r="RHT5" s="2"/>
      <c r="RHV5" s="2"/>
      <c r="RHX5" s="2"/>
      <c r="RHZ5" s="2"/>
      <c r="RIB5" s="2"/>
      <c r="RID5" s="2"/>
      <c r="RIF5" s="2"/>
      <c r="RIH5" s="2"/>
      <c r="RIJ5" s="2"/>
      <c r="RIL5" s="2"/>
      <c r="RIN5" s="2"/>
      <c r="RIP5" s="2"/>
      <c r="RIR5" s="2"/>
      <c r="RIT5" s="2"/>
      <c r="RIV5" s="2"/>
      <c r="RIX5" s="2"/>
      <c r="RIZ5" s="2"/>
      <c r="RJB5" s="2"/>
      <c r="RJD5" s="2"/>
      <c r="RJF5" s="2"/>
      <c r="RJH5" s="2"/>
      <c r="RJJ5" s="2"/>
      <c r="RJL5" s="2"/>
      <c r="RJN5" s="2"/>
      <c r="RJP5" s="2"/>
      <c r="RJR5" s="2"/>
      <c r="RJT5" s="2"/>
      <c r="RJV5" s="2"/>
      <c r="RJX5" s="2"/>
      <c r="RJZ5" s="2"/>
      <c r="RKB5" s="2"/>
      <c r="RKD5" s="2"/>
      <c r="RKF5" s="2"/>
      <c r="RKH5" s="2"/>
      <c r="RKJ5" s="2"/>
      <c r="RKL5" s="2"/>
      <c r="RKN5" s="2"/>
      <c r="RKP5" s="2"/>
      <c r="RKR5" s="2"/>
      <c r="RKT5" s="2"/>
      <c r="RKV5" s="2"/>
      <c r="RKX5" s="2"/>
      <c r="RKZ5" s="2"/>
      <c r="RLB5" s="2"/>
      <c r="RLD5" s="2"/>
      <c r="RLF5" s="2"/>
      <c r="RLH5" s="2"/>
      <c r="RLJ5" s="2"/>
      <c r="RLL5" s="2"/>
      <c r="RLN5" s="2"/>
      <c r="RLP5" s="2"/>
      <c r="RLR5" s="2"/>
      <c r="RLT5" s="2"/>
      <c r="RLV5" s="2"/>
      <c r="RLX5" s="2"/>
      <c r="RLZ5" s="2"/>
      <c r="RMB5" s="2"/>
      <c r="RMD5" s="2"/>
      <c r="RMF5" s="2"/>
      <c r="RMH5" s="2"/>
      <c r="RMJ5" s="2"/>
      <c r="RML5" s="2"/>
      <c r="RMN5" s="2"/>
      <c r="RMP5" s="2"/>
      <c r="RMR5" s="2"/>
      <c r="RMT5" s="2"/>
      <c r="RMV5" s="2"/>
      <c r="RMX5" s="2"/>
      <c r="RMZ5" s="2"/>
      <c r="RNB5" s="2"/>
      <c r="RND5" s="2"/>
      <c r="RNF5" s="2"/>
      <c r="RNH5" s="2"/>
      <c r="RNJ5" s="2"/>
      <c r="RNL5" s="2"/>
      <c r="RNN5" s="2"/>
      <c r="RNP5" s="2"/>
      <c r="RNR5" s="2"/>
      <c r="RNT5" s="2"/>
      <c r="RNV5" s="2"/>
      <c r="RNX5" s="2"/>
      <c r="RNZ5" s="2"/>
      <c r="ROB5" s="2"/>
      <c r="ROD5" s="2"/>
      <c r="ROF5" s="2"/>
      <c r="ROH5" s="2"/>
      <c r="ROJ5" s="2"/>
      <c r="ROL5" s="2"/>
      <c r="RON5" s="2"/>
      <c r="ROP5" s="2"/>
      <c r="ROR5" s="2"/>
      <c r="ROT5" s="2"/>
      <c r="ROV5" s="2"/>
      <c r="ROX5" s="2"/>
      <c r="ROZ5" s="2"/>
      <c r="RPB5" s="2"/>
      <c r="RPD5" s="2"/>
      <c r="RPF5" s="2"/>
      <c r="RPH5" s="2"/>
      <c r="RPJ5" s="2"/>
      <c r="RPL5" s="2"/>
      <c r="RPN5" s="2"/>
      <c r="RPP5" s="2"/>
      <c r="RPR5" s="2"/>
      <c r="RPT5" s="2"/>
      <c r="RPV5" s="2"/>
      <c r="RPX5" s="2"/>
      <c r="RPZ5" s="2"/>
      <c r="RQB5" s="2"/>
      <c r="RQD5" s="2"/>
      <c r="RQF5" s="2"/>
      <c r="RQH5" s="2"/>
      <c r="RQJ5" s="2"/>
      <c r="RQL5" s="2"/>
      <c r="RQN5" s="2"/>
      <c r="RQP5" s="2"/>
      <c r="RQR5" s="2"/>
      <c r="RQT5" s="2"/>
      <c r="RQV5" s="2"/>
      <c r="RQX5" s="2"/>
      <c r="RQZ5" s="2"/>
      <c r="RRB5" s="2"/>
      <c r="RRD5" s="2"/>
      <c r="RRF5" s="2"/>
      <c r="RRH5" s="2"/>
      <c r="RRJ5" s="2"/>
      <c r="RRL5" s="2"/>
      <c r="RRN5" s="2"/>
      <c r="RRP5" s="2"/>
      <c r="RRR5" s="2"/>
      <c r="RRT5" s="2"/>
      <c r="RRV5" s="2"/>
      <c r="RRX5" s="2"/>
      <c r="RRZ5" s="2"/>
      <c r="RSB5" s="2"/>
      <c r="RSD5" s="2"/>
      <c r="RSF5" s="2"/>
      <c r="RSH5" s="2"/>
      <c r="RSJ5" s="2"/>
      <c r="RSL5" s="2"/>
      <c r="RSN5" s="2"/>
      <c r="RSP5" s="2"/>
      <c r="RSR5" s="2"/>
      <c r="RST5" s="2"/>
      <c r="RSV5" s="2"/>
      <c r="RSX5" s="2"/>
      <c r="RSZ5" s="2"/>
      <c r="RTB5" s="2"/>
      <c r="RTD5" s="2"/>
      <c r="RTF5" s="2"/>
      <c r="RTH5" s="2"/>
      <c r="RTJ5" s="2"/>
      <c r="RTL5" s="2"/>
      <c r="RTN5" s="2"/>
      <c r="RTP5" s="2"/>
      <c r="RTR5" s="2"/>
      <c r="RTT5" s="2"/>
      <c r="RTV5" s="2"/>
      <c r="RTX5" s="2"/>
      <c r="RTZ5" s="2"/>
      <c r="RUB5" s="2"/>
      <c r="RUD5" s="2"/>
      <c r="RUF5" s="2"/>
      <c r="RUH5" s="2"/>
      <c r="RUJ5" s="2"/>
      <c r="RUL5" s="2"/>
      <c r="RUN5" s="2"/>
      <c r="RUP5" s="2"/>
      <c r="RUR5" s="2"/>
      <c r="RUT5" s="2"/>
      <c r="RUV5" s="2"/>
      <c r="RUX5" s="2"/>
      <c r="RUZ5" s="2"/>
      <c r="RVB5" s="2"/>
      <c r="RVD5" s="2"/>
      <c r="RVF5" s="2"/>
      <c r="RVH5" s="2"/>
      <c r="RVJ5" s="2"/>
      <c r="RVL5" s="2"/>
      <c r="RVN5" s="2"/>
      <c r="RVP5" s="2"/>
      <c r="RVR5" s="2"/>
      <c r="RVT5" s="2"/>
      <c r="RVV5" s="2"/>
      <c r="RVX5" s="2"/>
      <c r="RVZ5" s="2"/>
      <c r="RWB5" s="2"/>
      <c r="RWD5" s="2"/>
      <c r="RWF5" s="2"/>
      <c r="RWH5" s="2"/>
      <c r="RWJ5" s="2"/>
      <c r="RWL5" s="2"/>
      <c r="RWN5" s="2"/>
      <c r="RWP5" s="2"/>
      <c r="RWR5" s="2"/>
      <c r="RWT5" s="2"/>
      <c r="RWV5" s="2"/>
      <c r="RWX5" s="2"/>
      <c r="RWZ5" s="2"/>
      <c r="RXB5" s="2"/>
      <c r="RXD5" s="2"/>
      <c r="RXF5" s="2"/>
      <c r="RXH5" s="2"/>
      <c r="RXJ5" s="2"/>
      <c r="RXL5" s="2"/>
      <c r="RXN5" s="2"/>
      <c r="RXP5" s="2"/>
      <c r="RXR5" s="2"/>
      <c r="RXT5" s="2"/>
      <c r="RXV5" s="2"/>
      <c r="RXX5" s="2"/>
      <c r="RXZ5" s="2"/>
      <c r="RYB5" s="2"/>
      <c r="RYD5" s="2"/>
      <c r="RYF5" s="2"/>
      <c r="RYH5" s="2"/>
      <c r="RYJ5" s="2"/>
      <c r="RYL5" s="2"/>
      <c r="RYN5" s="2"/>
      <c r="RYP5" s="2"/>
      <c r="RYR5" s="2"/>
      <c r="RYT5" s="2"/>
      <c r="RYV5" s="2"/>
      <c r="RYX5" s="2"/>
      <c r="RYZ5" s="2"/>
      <c r="RZB5" s="2"/>
      <c r="RZD5" s="2"/>
      <c r="RZF5" s="2"/>
      <c r="RZH5" s="2"/>
      <c r="RZJ5" s="2"/>
      <c r="RZL5" s="2"/>
      <c r="RZN5" s="2"/>
      <c r="RZP5" s="2"/>
      <c r="RZR5" s="2"/>
      <c r="RZT5" s="2"/>
      <c r="RZV5" s="2"/>
      <c r="RZX5" s="2"/>
      <c r="RZZ5" s="2"/>
      <c r="SAB5" s="2"/>
      <c r="SAD5" s="2"/>
      <c r="SAF5" s="2"/>
      <c r="SAH5" s="2"/>
      <c r="SAJ5" s="2"/>
      <c r="SAL5" s="2"/>
      <c r="SAN5" s="2"/>
      <c r="SAP5" s="2"/>
      <c r="SAR5" s="2"/>
      <c r="SAT5" s="2"/>
      <c r="SAV5" s="2"/>
      <c r="SAX5" s="2"/>
      <c r="SAZ5" s="2"/>
      <c r="SBB5" s="2"/>
      <c r="SBD5" s="2"/>
      <c r="SBF5" s="2"/>
      <c r="SBH5" s="2"/>
      <c r="SBJ5" s="2"/>
      <c r="SBL5" s="2"/>
      <c r="SBN5" s="2"/>
      <c r="SBP5" s="2"/>
      <c r="SBR5" s="2"/>
      <c r="SBT5" s="2"/>
      <c r="SBV5" s="2"/>
      <c r="SBX5" s="2"/>
      <c r="SBZ5" s="2"/>
      <c r="SCB5" s="2"/>
      <c r="SCD5" s="2"/>
      <c r="SCF5" s="2"/>
      <c r="SCH5" s="2"/>
      <c r="SCJ5" s="2"/>
      <c r="SCL5" s="2"/>
      <c r="SCN5" s="2"/>
      <c r="SCP5" s="2"/>
      <c r="SCR5" s="2"/>
      <c r="SCT5" s="2"/>
      <c r="SCV5" s="2"/>
      <c r="SCX5" s="2"/>
      <c r="SCZ5" s="2"/>
      <c r="SDB5" s="2"/>
      <c r="SDD5" s="2"/>
      <c r="SDF5" s="2"/>
      <c r="SDH5" s="2"/>
      <c r="SDJ5" s="2"/>
      <c r="SDL5" s="2"/>
      <c r="SDN5" s="2"/>
      <c r="SDP5" s="2"/>
      <c r="SDR5" s="2"/>
      <c r="SDT5" s="2"/>
      <c r="SDV5" s="2"/>
      <c r="SDX5" s="2"/>
      <c r="SDZ5" s="2"/>
      <c r="SEB5" s="2"/>
      <c r="SED5" s="2"/>
      <c r="SEF5" s="2"/>
      <c r="SEH5" s="2"/>
      <c r="SEJ5" s="2"/>
      <c r="SEL5" s="2"/>
      <c r="SEN5" s="2"/>
      <c r="SEP5" s="2"/>
      <c r="SER5" s="2"/>
      <c r="SET5" s="2"/>
      <c r="SEV5" s="2"/>
      <c r="SEX5" s="2"/>
      <c r="SEZ5" s="2"/>
      <c r="SFB5" s="2"/>
      <c r="SFD5" s="2"/>
      <c r="SFF5" s="2"/>
      <c r="SFH5" s="2"/>
      <c r="SFJ5" s="2"/>
      <c r="SFL5" s="2"/>
      <c r="SFN5" s="2"/>
      <c r="SFP5" s="2"/>
      <c r="SFR5" s="2"/>
      <c r="SFT5" s="2"/>
      <c r="SFV5" s="2"/>
      <c r="SFX5" s="2"/>
      <c r="SFZ5" s="2"/>
      <c r="SGB5" s="2"/>
      <c r="SGD5" s="2"/>
      <c r="SGF5" s="2"/>
      <c r="SGH5" s="2"/>
      <c r="SGJ5" s="2"/>
      <c r="SGL5" s="2"/>
      <c r="SGN5" s="2"/>
      <c r="SGP5" s="2"/>
      <c r="SGR5" s="2"/>
      <c r="SGT5" s="2"/>
      <c r="SGV5" s="2"/>
      <c r="SGX5" s="2"/>
      <c r="SGZ5" s="2"/>
      <c r="SHB5" s="2"/>
      <c r="SHD5" s="2"/>
      <c r="SHF5" s="2"/>
      <c r="SHH5" s="2"/>
      <c r="SHJ5" s="2"/>
      <c r="SHL5" s="2"/>
      <c r="SHN5" s="2"/>
      <c r="SHP5" s="2"/>
      <c r="SHR5" s="2"/>
      <c r="SHT5" s="2"/>
      <c r="SHV5" s="2"/>
      <c r="SHX5" s="2"/>
      <c r="SHZ5" s="2"/>
      <c r="SIB5" s="2"/>
      <c r="SID5" s="2"/>
      <c r="SIF5" s="2"/>
      <c r="SIH5" s="2"/>
      <c r="SIJ5" s="2"/>
      <c r="SIL5" s="2"/>
      <c r="SIN5" s="2"/>
      <c r="SIP5" s="2"/>
      <c r="SIR5" s="2"/>
      <c r="SIT5" s="2"/>
      <c r="SIV5" s="2"/>
      <c r="SIX5" s="2"/>
      <c r="SIZ5" s="2"/>
      <c r="SJB5" s="2"/>
      <c r="SJD5" s="2"/>
      <c r="SJF5" s="2"/>
      <c r="SJH5" s="2"/>
      <c r="SJJ5" s="2"/>
      <c r="SJL5" s="2"/>
      <c r="SJN5" s="2"/>
      <c r="SJP5" s="2"/>
      <c r="SJR5" s="2"/>
      <c r="SJT5" s="2"/>
      <c r="SJV5" s="2"/>
      <c r="SJX5" s="2"/>
      <c r="SJZ5" s="2"/>
      <c r="SKB5" s="2"/>
      <c r="SKD5" s="2"/>
      <c r="SKF5" s="2"/>
      <c r="SKH5" s="2"/>
      <c r="SKJ5" s="2"/>
      <c r="SKL5" s="2"/>
      <c r="SKN5" s="2"/>
      <c r="SKP5" s="2"/>
      <c r="SKR5" s="2"/>
      <c r="SKT5" s="2"/>
      <c r="SKV5" s="2"/>
      <c r="SKX5" s="2"/>
      <c r="SKZ5" s="2"/>
      <c r="SLB5" s="2"/>
      <c r="SLD5" s="2"/>
      <c r="SLF5" s="2"/>
      <c r="SLH5" s="2"/>
      <c r="SLJ5" s="2"/>
      <c r="SLL5" s="2"/>
      <c r="SLN5" s="2"/>
      <c r="SLP5" s="2"/>
      <c r="SLR5" s="2"/>
      <c r="SLT5" s="2"/>
      <c r="SLV5" s="2"/>
      <c r="SLX5" s="2"/>
      <c r="SLZ5" s="2"/>
      <c r="SMB5" s="2"/>
      <c r="SMD5" s="2"/>
      <c r="SMF5" s="2"/>
      <c r="SMH5" s="2"/>
      <c r="SMJ5" s="2"/>
      <c r="SML5" s="2"/>
      <c r="SMN5" s="2"/>
      <c r="SMP5" s="2"/>
      <c r="SMR5" s="2"/>
      <c r="SMT5" s="2"/>
      <c r="SMV5" s="2"/>
      <c r="SMX5" s="2"/>
      <c r="SMZ5" s="2"/>
      <c r="SNB5" s="2"/>
      <c r="SND5" s="2"/>
      <c r="SNF5" s="2"/>
      <c r="SNH5" s="2"/>
      <c r="SNJ5" s="2"/>
      <c r="SNL5" s="2"/>
      <c r="SNN5" s="2"/>
      <c r="SNP5" s="2"/>
      <c r="SNR5" s="2"/>
      <c r="SNT5" s="2"/>
      <c r="SNV5" s="2"/>
      <c r="SNX5" s="2"/>
      <c r="SNZ5" s="2"/>
      <c r="SOB5" s="2"/>
      <c r="SOD5" s="2"/>
      <c r="SOF5" s="2"/>
      <c r="SOH5" s="2"/>
      <c r="SOJ5" s="2"/>
      <c r="SOL5" s="2"/>
      <c r="SON5" s="2"/>
      <c r="SOP5" s="2"/>
      <c r="SOR5" s="2"/>
      <c r="SOT5" s="2"/>
      <c r="SOV5" s="2"/>
      <c r="SOX5" s="2"/>
      <c r="SOZ5" s="2"/>
      <c r="SPB5" s="2"/>
      <c r="SPD5" s="2"/>
      <c r="SPF5" s="2"/>
      <c r="SPH5" s="2"/>
      <c r="SPJ5" s="2"/>
      <c r="SPL5" s="2"/>
      <c r="SPN5" s="2"/>
      <c r="SPP5" s="2"/>
      <c r="SPR5" s="2"/>
      <c r="SPT5" s="2"/>
      <c r="SPV5" s="2"/>
      <c r="SPX5" s="2"/>
      <c r="SPZ5" s="2"/>
      <c r="SQB5" s="2"/>
      <c r="SQD5" s="2"/>
      <c r="SQF5" s="2"/>
      <c r="SQH5" s="2"/>
      <c r="SQJ5" s="2"/>
      <c r="SQL5" s="2"/>
      <c r="SQN5" s="2"/>
      <c r="SQP5" s="2"/>
      <c r="SQR5" s="2"/>
      <c r="SQT5" s="2"/>
      <c r="SQV5" s="2"/>
      <c r="SQX5" s="2"/>
      <c r="SQZ5" s="2"/>
      <c r="SRB5" s="2"/>
      <c r="SRD5" s="2"/>
      <c r="SRF5" s="2"/>
      <c r="SRH5" s="2"/>
      <c r="SRJ5" s="2"/>
      <c r="SRL5" s="2"/>
      <c r="SRN5" s="2"/>
      <c r="SRP5" s="2"/>
      <c r="SRR5" s="2"/>
      <c r="SRT5" s="2"/>
      <c r="SRV5" s="2"/>
      <c r="SRX5" s="2"/>
      <c r="SRZ5" s="2"/>
      <c r="SSB5" s="2"/>
      <c r="SSD5" s="2"/>
      <c r="SSF5" s="2"/>
      <c r="SSH5" s="2"/>
      <c r="SSJ5" s="2"/>
      <c r="SSL5" s="2"/>
      <c r="SSN5" s="2"/>
      <c r="SSP5" s="2"/>
      <c r="SSR5" s="2"/>
      <c r="SST5" s="2"/>
      <c r="SSV5" s="2"/>
      <c r="SSX5" s="2"/>
      <c r="SSZ5" s="2"/>
      <c r="STB5" s="2"/>
      <c r="STD5" s="2"/>
      <c r="STF5" s="2"/>
      <c r="STH5" s="2"/>
      <c r="STJ5" s="2"/>
      <c r="STL5" s="2"/>
      <c r="STN5" s="2"/>
      <c r="STP5" s="2"/>
      <c r="STR5" s="2"/>
      <c r="STT5" s="2"/>
      <c r="STV5" s="2"/>
      <c r="STX5" s="2"/>
      <c r="STZ5" s="2"/>
      <c r="SUB5" s="2"/>
      <c r="SUD5" s="2"/>
      <c r="SUF5" s="2"/>
      <c r="SUH5" s="2"/>
      <c r="SUJ5" s="2"/>
      <c r="SUL5" s="2"/>
      <c r="SUN5" s="2"/>
      <c r="SUP5" s="2"/>
      <c r="SUR5" s="2"/>
      <c r="SUT5" s="2"/>
      <c r="SUV5" s="2"/>
      <c r="SUX5" s="2"/>
      <c r="SUZ5" s="2"/>
      <c r="SVB5" s="2"/>
      <c r="SVD5" s="2"/>
      <c r="SVF5" s="2"/>
      <c r="SVH5" s="2"/>
      <c r="SVJ5" s="2"/>
      <c r="SVL5" s="2"/>
      <c r="SVN5" s="2"/>
      <c r="SVP5" s="2"/>
      <c r="SVR5" s="2"/>
      <c r="SVT5" s="2"/>
      <c r="SVV5" s="2"/>
      <c r="SVX5" s="2"/>
      <c r="SVZ5" s="2"/>
      <c r="SWB5" s="2"/>
      <c r="SWD5" s="2"/>
      <c r="SWF5" s="2"/>
      <c r="SWH5" s="2"/>
      <c r="SWJ5" s="2"/>
      <c r="SWL5" s="2"/>
      <c r="SWN5" s="2"/>
      <c r="SWP5" s="2"/>
      <c r="SWR5" s="2"/>
      <c r="SWT5" s="2"/>
      <c r="SWV5" s="2"/>
      <c r="SWX5" s="2"/>
      <c r="SWZ5" s="2"/>
      <c r="SXB5" s="2"/>
      <c r="SXD5" s="2"/>
      <c r="SXF5" s="2"/>
      <c r="SXH5" s="2"/>
      <c r="SXJ5" s="2"/>
      <c r="SXL5" s="2"/>
      <c r="SXN5" s="2"/>
      <c r="SXP5" s="2"/>
      <c r="SXR5" s="2"/>
      <c r="SXT5" s="2"/>
      <c r="SXV5" s="2"/>
      <c r="SXX5" s="2"/>
      <c r="SXZ5" s="2"/>
      <c r="SYB5" s="2"/>
      <c r="SYD5" s="2"/>
      <c r="SYF5" s="2"/>
      <c r="SYH5" s="2"/>
      <c r="SYJ5" s="2"/>
      <c r="SYL5" s="2"/>
      <c r="SYN5" s="2"/>
      <c r="SYP5" s="2"/>
      <c r="SYR5" s="2"/>
      <c r="SYT5" s="2"/>
      <c r="SYV5" s="2"/>
      <c r="SYX5" s="2"/>
      <c r="SYZ5" s="2"/>
      <c r="SZB5" s="2"/>
      <c r="SZD5" s="2"/>
      <c r="SZF5" s="2"/>
      <c r="SZH5" s="2"/>
      <c r="SZJ5" s="2"/>
      <c r="SZL5" s="2"/>
      <c r="SZN5" s="2"/>
      <c r="SZP5" s="2"/>
      <c r="SZR5" s="2"/>
      <c r="SZT5" s="2"/>
      <c r="SZV5" s="2"/>
      <c r="SZX5" s="2"/>
      <c r="SZZ5" s="2"/>
      <c r="TAB5" s="2"/>
      <c r="TAD5" s="2"/>
      <c r="TAF5" s="2"/>
      <c r="TAH5" s="2"/>
      <c r="TAJ5" s="2"/>
      <c r="TAL5" s="2"/>
      <c r="TAN5" s="2"/>
      <c r="TAP5" s="2"/>
      <c r="TAR5" s="2"/>
      <c r="TAT5" s="2"/>
      <c r="TAV5" s="2"/>
      <c r="TAX5" s="2"/>
      <c r="TAZ5" s="2"/>
      <c r="TBB5" s="2"/>
      <c r="TBD5" s="2"/>
      <c r="TBF5" s="2"/>
      <c r="TBH5" s="2"/>
      <c r="TBJ5" s="2"/>
      <c r="TBL5" s="2"/>
      <c r="TBN5" s="2"/>
      <c r="TBP5" s="2"/>
      <c r="TBR5" s="2"/>
      <c r="TBT5" s="2"/>
      <c r="TBV5" s="2"/>
      <c r="TBX5" s="2"/>
      <c r="TBZ5" s="2"/>
      <c r="TCB5" s="2"/>
      <c r="TCD5" s="2"/>
      <c r="TCF5" s="2"/>
      <c r="TCH5" s="2"/>
      <c r="TCJ5" s="2"/>
      <c r="TCL5" s="2"/>
      <c r="TCN5" s="2"/>
      <c r="TCP5" s="2"/>
      <c r="TCR5" s="2"/>
      <c r="TCT5" s="2"/>
      <c r="TCV5" s="2"/>
      <c r="TCX5" s="2"/>
      <c r="TCZ5" s="2"/>
      <c r="TDB5" s="2"/>
      <c r="TDD5" s="2"/>
      <c r="TDF5" s="2"/>
      <c r="TDH5" s="2"/>
      <c r="TDJ5" s="2"/>
      <c r="TDL5" s="2"/>
      <c r="TDN5" s="2"/>
      <c r="TDP5" s="2"/>
      <c r="TDR5" s="2"/>
      <c r="TDT5" s="2"/>
      <c r="TDV5" s="2"/>
      <c r="TDX5" s="2"/>
      <c r="TDZ5" s="2"/>
      <c r="TEB5" s="2"/>
      <c r="TED5" s="2"/>
      <c r="TEF5" s="2"/>
      <c r="TEH5" s="2"/>
      <c r="TEJ5" s="2"/>
      <c r="TEL5" s="2"/>
      <c r="TEN5" s="2"/>
      <c r="TEP5" s="2"/>
      <c r="TER5" s="2"/>
      <c r="TET5" s="2"/>
      <c r="TEV5" s="2"/>
      <c r="TEX5" s="2"/>
      <c r="TEZ5" s="2"/>
      <c r="TFB5" s="2"/>
      <c r="TFD5" s="2"/>
      <c r="TFF5" s="2"/>
      <c r="TFH5" s="2"/>
      <c r="TFJ5" s="2"/>
      <c r="TFL5" s="2"/>
      <c r="TFN5" s="2"/>
      <c r="TFP5" s="2"/>
      <c r="TFR5" s="2"/>
      <c r="TFT5" s="2"/>
      <c r="TFV5" s="2"/>
      <c r="TFX5" s="2"/>
      <c r="TFZ5" s="2"/>
      <c r="TGB5" s="2"/>
      <c r="TGD5" s="2"/>
      <c r="TGF5" s="2"/>
      <c r="TGH5" s="2"/>
      <c r="TGJ5" s="2"/>
      <c r="TGL5" s="2"/>
      <c r="TGN5" s="2"/>
      <c r="TGP5" s="2"/>
      <c r="TGR5" s="2"/>
      <c r="TGT5" s="2"/>
      <c r="TGV5" s="2"/>
      <c r="TGX5" s="2"/>
      <c r="TGZ5" s="2"/>
      <c r="THB5" s="2"/>
      <c r="THD5" s="2"/>
      <c r="THF5" s="2"/>
      <c r="THH5" s="2"/>
      <c r="THJ5" s="2"/>
      <c r="THL5" s="2"/>
      <c r="THN5" s="2"/>
      <c r="THP5" s="2"/>
      <c r="THR5" s="2"/>
      <c r="THT5" s="2"/>
      <c r="THV5" s="2"/>
      <c r="THX5" s="2"/>
      <c r="THZ5" s="2"/>
      <c r="TIB5" s="2"/>
      <c r="TID5" s="2"/>
      <c r="TIF5" s="2"/>
      <c r="TIH5" s="2"/>
      <c r="TIJ5" s="2"/>
      <c r="TIL5" s="2"/>
      <c r="TIN5" s="2"/>
      <c r="TIP5" s="2"/>
      <c r="TIR5" s="2"/>
      <c r="TIT5" s="2"/>
      <c r="TIV5" s="2"/>
      <c r="TIX5" s="2"/>
      <c r="TIZ5" s="2"/>
      <c r="TJB5" s="2"/>
      <c r="TJD5" s="2"/>
      <c r="TJF5" s="2"/>
      <c r="TJH5" s="2"/>
      <c r="TJJ5" s="2"/>
      <c r="TJL5" s="2"/>
      <c r="TJN5" s="2"/>
      <c r="TJP5" s="2"/>
      <c r="TJR5" s="2"/>
      <c r="TJT5" s="2"/>
      <c r="TJV5" s="2"/>
      <c r="TJX5" s="2"/>
      <c r="TJZ5" s="2"/>
      <c r="TKB5" s="2"/>
      <c r="TKD5" s="2"/>
      <c r="TKF5" s="2"/>
      <c r="TKH5" s="2"/>
      <c r="TKJ5" s="2"/>
      <c r="TKL5" s="2"/>
      <c r="TKN5" s="2"/>
      <c r="TKP5" s="2"/>
      <c r="TKR5" s="2"/>
      <c r="TKT5" s="2"/>
      <c r="TKV5" s="2"/>
      <c r="TKX5" s="2"/>
      <c r="TKZ5" s="2"/>
      <c r="TLB5" s="2"/>
      <c r="TLD5" s="2"/>
      <c r="TLF5" s="2"/>
      <c r="TLH5" s="2"/>
      <c r="TLJ5" s="2"/>
      <c r="TLL5" s="2"/>
      <c r="TLN5" s="2"/>
      <c r="TLP5" s="2"/>
      <c r="TLR5" s="2"/>
      <c r="TLT5" s="2"/>
      <c r="TLV5" s="2"/>
      <c r="TLX5" s="2"/>
      <c r="TLZ5" s="2"/>
      <c r="TMB5" s="2"/>
      <c r="TMD5" s="2"/>
      <c r="TMF5" s="2"/>
      <c r="TMH5" s="2"/>
      <c r="TMJ5" s="2"/>
      <c r="TML5" s="2"/>
      <c r="TMN5" s="2"/>
      <c r="TMP5" s="2"/>
      <c r="TMR5" s="2"/>
      <c r="TMT5" s="2"/>
      <c r="TMV5" s="2"/>
      <c r="TMX5" s="2"/>
      <c r="TMZ5" s="2"/>
      <c r="TNB5" s="2"/>
      <c r="TND5" s="2"/>
      <c r="TNF5" s="2"/>
      <c r="TNH5" s="2"/>
      <c r="TNJ5" s="2"/>
      <c r="TNL5" s="2"/>
      <c r="TNN5" s="2"/>
      <c r="TNP5" s="2"/>
      <c r="TNR5" s="2"/>
      <c r="TNT5" s="2"/>
      <c r="TNV5" s="2"/>
      <c r="TNX5" s="2"/>
      <c r="TNZ5" s="2"/>
      <c r="TOB5" s="2"/>
      <c r="TOD5" s="2"/>
      <c r="TOF5" s="2"/>
      <c r="TOH5" s="2"/>
      <c r="TOJ5" s="2"/>
      <c r="TOL5" s="2"/>
      <c r="TON5" s="2"/>
      <c r="TOP5" s="2"/>
      <c r="TOR5" s="2"/>
      <c r="TOT5" s="2"/>
      <c r="TOV5" s="2"/>
      <c r="TOX5" s="2"/>
      <c r="TOZ5" s="2"/>
      <c r="TPB5" s="2"/>
      <c r="TPD5" s="2"/>
      <c r="TPF5" s="2"/>
      <c r="TPH5" s="2"/>
      <c r="TPJ5" s="2"/>
      <c r="TPL5" s="2"/>
      <c r="TPN5" s="2"/>
      <c r="TPP5" s="2"/>
      <c r="TPR5" s="2"/>
      <c r="TPT5" s="2"/>
      <c r="TPV5" s="2"/>
      <c r="TPX5" s="2"/>
      <c r="TPZ5" s="2"/>
      <c r="TQB5" s="2"/>
      <c r="TQD5" s="2"/>
      <c r="TQF5" s="2"/>
      <c r="TQH5" s="2"/>
      <c r="TQJ5" s="2"/>
      <c r="TQL5" s="2"/>
      <c r="TQN5" s="2"/>
      <c r="TQP5" s="2"/>
      <c r="TQR5" s="2"/>
      <c r="TQT5" s="2"/>
      <c r="TQV5" s="2"/>
      <c r="TQX5" s="2"/>
      <c r="TQZ5" s="2"/>
      <c r="TRB5" s="2"/>
      <c r="TRD5" s="2"/>
      <c r="TRF5" s="2"/>
      <c r="TRH5" s="2"/>
      <c r="TRJ5" s="2"/>
      <c r="TRL5" s="2"/>
      <c r="TRN5" s="2"/>
      <c r="TRP5" s="2"/>
      <c r="TRR5" s="2"/>
      <c r="TRT5" s="2"/>
      <c r="TRV5" s="2"/>
      <c r="TRX5" s="2"/>
      <c r="TRZ5" s="2"/>
      <c r="TSB5" s="2"/>
      <c r="TSD5" s="2"/>
      <c r="TSF5" s="2"/>
      <c r="TSH5" s="2"/>
      <c r="TSJ5" s="2"/>
      <c r="TSL5" s="2"/>
      <c r="TSN5" s="2"/>
      <c r="TSP5" s="2"/>
      <c r="TSR5" s="2"/>
      <c r="TST5" s="2"/>
      <c r="TSV5" s="2"/>
      <c r="TSX5" s="2"/>
      <c r="TSZ5" s="2"/>
      <c r="TTB5" s="2"/>
      <c r="TTD5" s="2"/>
      <c r="TTF5" s="2"/>
      <c r="TTH5" s="2"/>
      <c r="TTJ5" s="2"/>
      <c r="TTL5" s="2"/>
      <c r="TTN5" s="2"/>
      <c r="TTP5" s="2"/>
      <c r="TTR5" s="2"/>
      <c r="TTT5" s="2"/>
      <c r="TTV5" s="2"/>
      <c r="TTX5" s="2"/>
      <c r="TTZ5" s="2"/>
      <c r="TUB5" s="2"/>
      <c r="TUD5" s="2"/>
      <c r="TUF5" s="2"/>
      <c r="TUH5" s="2"/>
      <c r="TUJ5" s="2"/>
      <c r="TUL5" s="2"/>
      <c r="TUN5" s="2"/>
      <c r="TUP5" s="2"/>
      <c r="TUR5" s="2"/>
      <c r="TUT5" s="2"/>
      <c r="TUV5" s="2"/>
      <c r="TUX5" s="2"/>
      <c r="TUZ5" s="2"/>
      <c r="TVB5" s="2"/>
      <c r="TVD5" s="2"/>
      <c r="TVF5" s="2"/>
      <c r="TVH5" s="2"/>
      <c r="TVJ5" s="2"/>
      <c r="TVL5" s="2"/>
      <c r="TVN5" s="2"/>
      <c r="TVP5" s="2"/>
      <c r="TVR5" s="2"/>
      <c r="TVT5" s="2"/>
      <c r="TVV5" s="2"/>
      <c r="TVX5" s="2"/>
      <c r="TVZ5" s="2"/>
      <c r="TWB5" s="2"/>
      <c r="TWD5" s="2"/>
      <c r="TWF5" s="2"/>
      <c r="TWH5" s="2"/>
      <c r="TWJ5" s="2"/>
      <c r="TWL5" s="2"/>
      <c r="TWN5" s="2"/>
      <c r="TWP5" s="2"/>
      <c r="TWR5" s="2"/>
      <c r="TWT5" s="2"/>
      <c r="TWV5" s="2"/>
      <c r="TWX5" s="2"/>
      <c r="TWZ5" s="2"/>
      <c r="TXB5" s="2"/>
      <c r="TXD5" s="2"/>
      <c r="TXF5" s="2"/>
      <c r="TXH5" s="2"/>
      <c r="TXJ5" s="2"/>
      <c r="TXL5" s="2"/>
      <c r="TXN5" s="2"/>
      <c r="TXP5" s="2"/>
      <c r="TXR5" s="2"/>
      <c r="TXT5" s="2"/>
      <c r="TXV5" s="2"/>
      <c r="TXX5" s="2"/>
      <c r="TXZ5" s="2"/>
      <c r="TYB5" s="2"/>
      <c r="TYD5" s="2"/>
      <c r="TYF5" s="2"/>
      <c r="TYH5" s="2"/>
      <c r="TYJ5" s="2"/>
      <c r="TYL5" s="2"/>
      <c r="TYN5" s="2"/>
      <c r="TYP5" s="2"/>
      <c r="TYR5" s="2"/>
      <c r="TYT5" s="2"/>
      <c r="TYV5" s="2"/>
      <c r="TYX5" s="2"/>
      <c r="TYZ5" s="2"/>
      <c r="TZB5" s="2"/>
      <c r="TZD5" s="2"/>
      <c r="TZF5" s="2"/>
      <c r="TZH5" s="2"/>
      <c r="TZJ5" s="2"/>
      <c r="TZL5" s="2"/>
      <c r="TZN5" s="2"/>
      <c r="TZP5" s="2"/>
      <c r="TZR5" s="2"/>
      <c r="TZT5" s="2"/>
      <c r="TZV5" s="2"/>
      <c r="TZX5" s="2"/>
      <c r="TZZ5" s="2"/>
      <c r="UAB5" s="2"/>
      <c r="UAD5" s="2"/>
      <c r="UAF5" s="2"/>
      <c r="UAH5" s="2"/>
      <c r="UAJ5" s="2"/>
      <c r="UAL5" s="2"/>
      <c r="UAN5" s="2"/>
      <c r="UAP5" s="2"/>
      <c r="UAR5" s="2"/>
      <c r="UAT5" s="2"/>
      <c r="UAV5" s="2"/>
      <c r="UAX5" s="2"/>
      <c r="UAZ5" s="2"/>
      <c r="UBB5" s="2"/>
      <c r="UBD5" s="2"/>
      <c r="UBF5" s="2"/>
      <c r="UBH5" s="2"/>
      <c r="UBJ5" s="2"/>
      <c r="UBL5" s="2"/>
      <c r="UBN5" s="2"/>
      <c r="UBP5" s="2"/>
      <c r="UBR5" s="2"/>
      <c r="UBT5" s="2"/>
      <c r="UBV5" s="2"/>
      <c r="UBX5" s="2"/>
      <c r="UBZ5" s="2"/>
      <c r="UCB5" s="2"/>
      <c r="UCD5" s="2"/>
      <c r="UCF5" s="2"/>
      <c r="UCH5" s="2"/>
      <c r="UCJ5" s="2"/>
      <c r="UCL5" s="2"/>
      <c r="UCN5" s="2"/>
      <c r="UCP5" s="2"/>
      <c r="UCR5" s="2"/>
      <c r="UCT5" s="2"/>
      <c r="UCV5" s="2"/>
      <c r="UCX5" s="2"/>
      <c r="UCZ5" s="2"/>
      <c r="UDB5" s="2"/>
      <c r="UDD5" s="2"/>
      <c r="UDF5" s="2"/>
      <c r="UDH5" s="2"/>
      <c r="UDJ5" s="2"/>
      <c r="UDL5" s="2"/>
      <c r="UDN5" s="2"/>
      <c r="UDP5" s="2"/>
      <c r="UDR5" s="2"/>
      <c r="UDT5" s="2"/>
      <c r="UDV5" s="2"/>
      <c r="UDX5" s="2"/>
      <c r="UDZ5" s="2"/>
      <c r="UEB5" s="2"/>
      <c r="UED5" s="2"/>
      <c r="UEF5" s="2"/>
      <c r="UEH5" s="2"/>
      <c r="UEJ5" s="2"/>
      <c r="UEL5" s="2"/>
      <c r="UEN5" s="2"/>
      <c r="UEP5" s="2"/>
      <c r="UER5" s="2"/>
      <c r="UET5" s="2"/>
      <c r="UEV5" s="2"/>
      <c r="UEX5" s="2"/>
      <c r="UEZ5" s="2"/>
      <c r="UFB5" s="2"/>
      <c r="UFD5" s="2"/>
      <c r="UFF5" s="2"/>
      <c r="UFH5" s="2"/>
      <c r="UFJ5" s="2"/>
      <c r="UFL5" s="2"/>
      <c r="UFN5" s="2"/>
      <c r="UFP5" s="2"/>
      <c r="UFR5" s="2"/>
      <c r="UFT5" s="2"/>
      <c r="UFV5" s="2"/>
      <c r="UFX5" s="2"/>
      <c r="UFZ5" s="2"/>
      <c r="UGB5" s="2"/>
      <c r="UGD5" s="2"/>
      <c r="UGF5" s="2"/>
      <c r="UGH5" s="2"/>
      <c r="UGJ5" s="2"/>
      <c r="UGL5" s="2"/>
      <c r="UGN5" s="2"/>
      <c r="UGP5" s="2"/>
      <c r="UGR5" s="2"/>
      <c r="UGT5" s="2"/>
      <c r="UGV5" s="2"/>
      <c r="UGX5" s="2"/>
      <c r="UGZ5" s="2"/>
      <c r="UHB5" s="2"/>
      <c r="UHD5" s="2"/>
      <c r="UHF5" s="2"/>
      <c r="UHH5" s="2"/>
      <c r="UHJ5" s="2"/>
      <c r="UHL5" s="2"/>
      <c r="UHN5" s="2"/>
      <c r="UHP5" s="2"/>
      <c r="UHR5" s="2"/>
      <c r="UHT5" s="2"/>
      <c r="UHV5" s="2"/>
      <c r="UHX5" s="2"/>
      <c r="UHZ5" s="2"/>
      <c r="UIB5" s="2"/>
      <c r="UID5" s="2"/>
      <c r="UIF5" s="2"/>
      <c r="UIH5" s="2"/>
      <c r="UIJ5" s="2"/>
      <c r="UIL5" s="2"/>
      <c r="UIN5" s="2"/>
      <c r="UIP5" s="2"/>
      <c r="UIR5" s="2"/>
      <c r="UIT5" s="2"/>
      <c r="UIV5" s="2"/>
      <c r="UIX5" s="2"/>
      <c r="UIZ5" s="2"/>
      <c r="UJB5" s="2"/>
      <c r="UJD5" s="2"/>
      <c r="UJF5" s="2"/>
      <c r="UJH5" s="2"/>
      <c r="UJJ5" s="2"/>
      <c r="UJL5" s="2"/>
      <c r="UJN5" s="2"/>
      <c r="UJP5" s="2"/>
      <c r="UJR5" s="2"/>
      <c r="UJT5" s="2"/>
      <c r="UJV5" s="2"/>
      <c r="UJX5" s="2"/>
      <c r="UJZ5" s="2"/>
      <c r="UKB5" s="2"/>
      <c r="UKD5" s="2"/>
      <c r="UKF5" s="2"/>
      <c r="UKH5" s="2"/>
      <c r="UKJ5" s="2"/>
      <c r="UKL5" s="2"/>
      <c r="UKN5" s="2"/>
      <c r="UKP5" s="2"/>
      <c r="UKR5" s="2"/>
      <c r="UKT5" s="2"/>
      <c r="UKV5" s="2"/>
      <c r="UKX5" s="2"/>
      <c r="UKZ5" s="2"/>
      <c r="ULB5" s="2"/>
      <c r="ULD5" s="2"/>
      <c r="ULF5" s="2"/>
      <c r="ULH5" s="2"/>
      <c r="ULJ5" s="2"/>
      <c r="ULL5" s="2"/>
      <c r="ULN5" s="2"/>
      <c r="ULP5" s="2"/>
      <c r="ULR5" s="2"/>
      <c r="ULT5" s="2"/>
      <c r="ULV5" s="2"/>
      <c r="ULX5" s="2"/>
      <c r="ULZ5" s="2"/>
      <c r="UMB5" s="2"/>
      <c r="UMD5" s="2"/>
      <c r="UMF5" s="2"/>
      <c r="UMH5" s="2"/>
      <c r="UMJ5" s="2"/>
      <c r="UML5" s="2"/>
      <c r="UMN5" s="2"/>
      <c r="UMP5" s="2"/>
      <c r="UMR5" s="2"/>
      <c r="UMT5" s="2"/>
      <c r="UMV5" s="2"/>
      <c r="UMX5" s="2"/>
      <c r="UMZ5" s="2"/>
      <c r="UNB5" s="2"/>
      <c r="UND5" s="2"/>
      <c r="UNF5" s="2"/>
      <c r="UNH5" s="2"/>
      <c r="UNJ5" s="2"/>
      <c r="UNL5" s="2"/>
      <c r="UNN5" s="2"/>
      <c r="UNP5" s="2"/>
      <c r="UNR5" s="2"/>
      <c r="UNT5" s="2"/>
      <c r="UNV5" s="2"/>
      <c r="UNX5" s="2"/>
      <c r="UNZ5" s="2"/>
      <c r="UOB5" s="2"/>
      <c r="UOD5" s="2"/>
      <c r="UOF5" s="2"/>
      <c r="UOH5" s="2"/>
      <c r="UOJ5" s="2"/>
      <c r="UOL5" s="2"/>
      <c r="UON5" s="2"/>
      <c r="UOP5" s="2"/>
      <c r="UOR5" s="2"/>
      <c r="UOT5" s="2"/>
      <c r="UOV5" s="2"/>
      <c r="UOX5" s="2"/>
      <c r="UOZ5" s="2"/>
      <c r="UPB5" s="2"/>
      <c r="UPD5" s="2"/>
      <c r="UPF5" s="2"/>
      <c r="UPH5" s="2"/>
      <c r="UPJ5" s="2"/>
      <c r="UPL5" s="2"/>
      <c r="UPN5" s="2"/>
      <c r="UPP5" s="2"/>
      <c r="UPR5" s="2"/>
      <c r="UPT5" s="2"/>
      <c r="UPV5" s="2"/>
      <c r="UPX5" s="2"/>
      <c r="UPZ5" s="2"/>
      <c r="UQB5" s="2"/>
      <c r="UQD5" s="2"/>
      <c r="UQF5" s="2"/>
      <c r="UQH5" s="2"/>
      <c r="UQJ5" s="2"/>
      <c r="UQL5" s="2"/>
      <c r="UQN5" s="2"/>
      <c r="UQP5" s="2"/>
      <c r="UQR5" s="2"/>
      <c r="UQT5" s="2"/>
      <c r="UQV5" s="2"/>
      <c r="UQX5" s="2"/>
      <c r="UQZ5" s="2"/>
      <c r="URB5" s="2"/>
      <c r="URD5" s="2"/>
      <c r="URF5" s="2"/>
      <c r="URH5" s="2"/>
      <c r="URJ5" s="2"/>
      <c r="URL5" s="2"/>
      <c r="URN5" s="2"/>
      <c r="URP5" s="2"/>
      <c r="URR5" s="2"/>
      <c r="URT5" s="2"/>
      <c r="URV5" s="2"/>
      <c r="URX5" s="2"/>
      <c r="URZ5" s="2"/>
      <c r="USB5" s="2"/>
      <c r="USD5" s="2"/>
      <c r="USF5" s="2"/>
      <c r="USH5" s="2"/>
      <c r="USJ5" s="2"/>
      <c r="USL5" s="2"/>
      <c r="USN5" s="2"/>
      <c r="USP5" s="2"/>
      <c r="USR5" s="2"/>
      <c r="UST5" s="2"/>
      <c r="USV5" s="2"/>
      <c r="USX5" s="2"/>
      <c r="USZ5" s="2"/>
      <c r="UTB5" s="2"/>
      <c r="UTD5" s="2"/>
      <c r="UTF5" s="2"/>
      <c r="UTH5" s="2"/>
      <c r="UTJ5" s="2"/>
      <c r="UTL5" s="2"/>
      <c r="UTN5" s="2"/>
      <c r="UTP5" s="2"/>
      <c r="UTR5" s="2"/>
      <c r="UTT5" s="2"/>
      <c r="UTV5" s="2"/>
      <c r="UTX5" s="2"/>
      <c r="UTZ5" s="2"/>
      <c r="UUB5" s="2"/>
      <c r="UUD5" s="2"/>
      <c r="UUF5" s="2"/>
      <c r="UUH5" s="2"/>
      <c r="UUJ5" s="2"/>
      <c r="UUL5" s="2"/>
      <c r="UUN5" s="2"/>
      <c r="UUP5" s="2"/>
      <c r="UUR5" s="2"/>
      <c r="UUT5" s="2"/>
      <c r="UUV5" s="2"/>
      <c r="UUX5" s="2"/>
      <c r="UUZ5" s="2"/>
      <c r="UVB5" s="2"/>
      <c r="UVD5" s="2"/>
      <c r="UVF5" s="2"/>
      <c r="UVH5" s="2"/>
      <c r="UVJ5" s="2"/>
      <c r="UVL5" s="2"/>
      <c r="UVN5" s="2"/>
      <c r="UVP5" s="2"/>
      <c r="UVR5" s="2"/>
      <c r="UVT5" s="2"/>
      <c r="UVV5" s="2"/>
      <c r="UVX5" s="2"/>
      <c r="UVZ5" s="2"/>
      <c r="UWB5" s="2"/>
      <c r="UWD5" s="2"/>
      <c r="UWF5" s="2"/>
      <c r="UWH5" s="2"/>
      <c r="UWJ5" s="2"/>
      <c r="UWL5" s="2"/>
      <c r="UWN5" s="2"/>
      <c r="UWP5" s="2"/>
      <c r="UWR5" s="2"/>
      <c r="UWT5" s="2"/>
      <c r="UWV5" s="2"/>
      <c r="UWX5" s="2"/>
      <c r="UWZ5" s="2"/>
      <c r="UXB5" s="2"/>
      <c r="UXD5" s="2"/>
      <c r="UXF5" s="2"/>
      <c r="UXH5" s="2"/>
      <c r="UXJ5" s="2"/>
      <c r="UXL5" s="2"/>
      <c r="UXN5" s="2"/>
      <c r="UXP5" s="2"/>
      <c r="UXR5" s="2"/>
      <c r="UXT5" s="2"/>
      <c r="UXV5" s="2"/>
      <c r="UXX5" s="2"/>
      <c r="UXZ5" s="2"/>
      <c r="UYB5" s="2"/>
      <c r="UYD5" s="2"/>
      <c r="UYF5" s="2"/>
      <c r="UYH5" s="2"/>
      <c r="UYJ5" s="2"/>
      <c r="UYL5" s="2"/>
      <c r="UYN5" s="2"/>
      <c r="UYP5" s="2"/>
      <c r="UYR5" s="2"/>
      <c r="UYT5" s="2"/>
      <c r="UYV5" s="2"/>
      <c r="UYX5" s="2"/>
      <c r="UYZ5" s="2"/>
      <c r="UZB5" s="2"/>
      <c r="UZD5" s="2"/>
      <c r="UZF5" s="2"/>
      <c r="UZH5" s="2"/>
      <c r="UZJ5" s="2"/>
      <c r="UZL5" s="2"/>
      <c r="UZN5" s="2"/>
      <c r="UZP5" s="2"/>
      <c r="UZR5" s="2"/>
      <c r="UZT5" s="2"/>
      <c r="UZV5" s="2"/>
      <c r="UZX5" s="2"/>
      <c r="UZZ5" s="2"/>
      <c r="VAB5" s="2"/>
      <c r="VAD5" s="2"/>
      <c r="VAF5" s="2"/>
      <c r="VAH5" s="2"/>
      <c r="VAJ5" s="2"/>
      <c r="VAL5" s="2"/>
      <c r="VAN5" s="2"/>
      <c r="VAP5" s="2"/>
      <c r="VAR5" s="2"/>
      <c r="VAT5" s="2"/>
      <c r="VAV5" s="2"/>
      <c r="VAX5" s="2"/>
      <c r="VAZ5" s="2"/>
      <c r="VBB5" s="2"/>
      <c r="VBD5" s="2"/>
      <c r="VBF5" s="2"/>
      <c r="VBH5" s="2"/>
      <c r="VBJ5" s="2"/>
      <c r="VBL5" s="2"/>
      <c r="VBN5" s="2"/>
      <c r="VBP5" s="2"/>
      <c r="VBR5" s="2"/>
      <c r="VBT5" s="2"/>
      <c r="VBV5" s="2"/>
      <c r="VBX5" s="2"/>
      <c r="VBZ5" s="2"/>
      <c r="VCB5" s="2"/>
      <c r="VCD5" s="2"/>
      <c r="VCF5" s="2"/>
      <c r="VCH5" s="2"/>
      <c r="VCJ5" s="2"/>
      <c r="VCL5" s="2"/>
      <c r="VCN5" s="2"/>
      <c r="VCP5" s="2"/>
      <c r="VCR5" s="2"/>
      <c r="VCT5" s="2"/>
      <c r="VCV5" s="2"/>
      <c r="VCX5" s="2"/>
      <c r="VCZ5" s="2"/>
      <c r="VDB5" s="2"/>
      <c r="VDD5" s="2"/>
      <c r="VDF5" s="2"/>
      <c r="VDH5" s="2"/>
      <c r="VDJ5" s="2"/>
      <c r="VDL5" s="2"/>
      <c r="VDN5" s="2"/>
      <c r="VDP5" s="2"/>
      <c r="VDR5" s="2"/>
      <c r="VDT5" s="2"/>
      <c r="VDV5" s="2"/>
      <c r="VDX5" s="2"/>
      <c r="VDZ5" s="2"/>
      <c r="VEB5" s="2"/>
      <c r="VED5" s="2"/>
      <c r="VEF5" s="2"/>
      <c r="VEH5" s="2"/>
      <c r="VEJ5" s="2"/>
      <c r="VEL5" s="2"/>
      <c r="VEN5" s="2"/>
      <c r="VEP5" s="2"/>
      <c r="VER5" s="2"/>
      <c r="VET5" s="2"/>
      <c r="VEV5" s="2"/>
      <c r="VEX5" s="2"/>
      <c r="VEZ5" s="2"/>
      <c r="VFB5" s="2"/>
      <c r="VFD5" s="2"/>
      <c r="VFF5" s="2"/>
      <c r="VFH5" s="2"/>
      <c r="VFJ5" s="2"/>
      <c r="VFL5" s="2"/>
      <c r="VFN5" s="2"/>
      <c r="VFP5" s="2"/>
      <c r="VFR5" s="2"/>
      <c r="VFT5" s="2"/>
      <c r="VFV5" s="2"/>
      <c r="VFX5" s="2"/>
      <c r="VFZ5" s="2"/>
      <c r="VGB5" s="2"/>
      <c r="VGD5" s="2"/>
      <c r="VGF5" s="2"/>
      <c r="VGH5" s="2"/>
      <c r="VGJ5" s="2"/>
      <c r="VGL5" s="2"/>
      <c r="VGN5" s="2"/>
      <c r="VGP5" s="2"/>
      <c r="VGR5" s="2"/>
      <c r="VGT5" s="2"/>
      <c r="VGV5" s="2"/>
      <c r="VGX5" s="2"/>
      <c r="VGZ5" s="2"/>
      <c r="VHB5" s="2"/>
      <c r="VHD5" s="2"/>
      <c r="VHF5" s="2"/>
      <c r="VHH5" s="2"/>
      <c r="VHJ5" s="2"/>
      <c r="VHL5" s="2"/>
      <c r="VHN5" s="2"/>
      <c r="VHP5" s="2"/>
      <c r="VHR5" s="2"/>
      <c r="VHT5" s="2"/>
      <c r="VHV5" s="2"/>
      <c r="VHX5" s="2"/>
      <c r="VHZ5" s="2"/>
      <c r="VIB5" s="2"/>
      <c r="VID5" s="2"/>
      <c r="VIF5" s="2"/>
      <c r="VIH5" s="2"/>
      <c r="VIJ5" s="2"/>
      <c r="VIL5" s="2"/>
      <c r="VIN5" s="2"/>
      <c r="VIP5" s="2"/>
      <c r="VIR5" s="2"/>
      <c r="VIT5" s="2"/>
      <c r="VIV5" s="2"/>
      <c r="VIX5" s="2"/>
      <c r="VIZ5" s="2"/>
      <c r="VJB5" s="2"/>
      <c r="VJD5" s="2"/>
      <c r="VJF5" s="2"/>
      <c r="VJH5" s="2"/>
      <c r="VJJ5" s="2"/>
      <c r="VJL5" s="2"/>
      <c r="VJN5" s="2"/>
      <c r="VJP5" s="2"/>
      <c r="VJR5" s="2"/>
      <c r="VJT5" s="2"/>
      <c r="VJV5" s="2"/>
      <c r="VJX5" s="2"/>
      <c r="VJZ5" s="2"/>
      <c r="VKB5" s="2"/>
      <c r="VKD5" s="2"/>
      <c r="VKF5" s="2"/>
      <c r="VKH5" s="2"/>
      <c r="VKJ5" s="2"/>
      <c r="VKL5" s="2"/>
      <c r="VKN5" s="2"/>
      <c r="VKP5" s="2"/>
      <c r="VKR5" s="2"/>
      <c r="VKT5" s="2"/>
      <c r="VKV5" s="2"/>
      <c r="VKX5" s="2"/>
      <c r="VKZ5" s="2"/>
      <c r="VLB5" s="2"/>
      <c r="VLD5" s="2"/>
      <c r="VLF5" s="2"/>
      <c r="VLH5" s="2"/>
      <c r="VLJ5" s="2"/>
      <c r="VLL5" s="2"/>
      <c r="VLN5" s="2"/>
      <c r="VLP5" s="2"/>
      <c r="VLR5" s="2"/>
      <c r="VLT5" s="2"/>
      <c r="VLV5" s="2"/>
      <c r="VLX5" s="2"/>
      <c r="VLZ5" s="2"/>
      <c r="VMB5" s="2"/>
      <c r="VMD5" s="2"/>
      <c r="VMF5" s="2"/>
      <c r="VMH5" s="2"/>
      <c r="VMJ5" s="2"/>
      <c r="VML5" s="2"/>
      <c r="VMN5" s="2"/>
      <c r="VMP5" s="2"/>
      <c r="VMR5" s="2"/>
      <c r="VMT5" s="2"/>
      <c r="VMV5" s="2"/>
      <c r="VMX5" s="2"/>
      <c r="VMZ5" s="2"/>
      <c r="VNB5" s="2"/>
      <c r="VND5" s="2"/>
      <c r="VNF5" s="2"/>
      <c r="VNH5" s="2"/>
      <c r="VNJ5" s="2"/>
      <c r="VNL5" s="2"/>
      <c r="VNN5" s="2"/>
      <c r="VNP5" s="2"/>
      <c r="VNR5" s="2"/>
      <c r="VNT5" s="2"/>
      <c r="VNV5" s="2"/>
      <c r="VNX5" s="2"/>
      <c r="VNZ5" s="2"/>
      <c r="VOB5" s="2"/>
      <c r="VOD5" s="2"/>
      <c r="VOF5" s="2"/>
      <c r="VOH5" s="2"/>
      <c r="VOJ5" s="2"/>
      <c r="VOL5" s="2"/>
      <c r="VON5" s="2"/>
      <c r="VOP5" s="2"/>
      <c r="VOR5" s="2"/>
      <c r="VOT5" s="2"/>
      <c r="VOV5" s="2"/>
      <c r="VOX5" s="2"/>
      <c r="VOZ5" s="2"/>
      <c r="VPB5" s="2"/>
      <c r="VPD5" s="2"/>
      <c r="VPF5" s="2"/>
      <c r="VPH5" s="2"/>
      <c r="VPJ5" s="2"/>
      <c r="VPL5" s="2"/>
      <c r="VPN5" s="2"/>
      <c r="VPP5" s="2"/>
      <c r="VPR5" s="2"/>
      <c r="VPT5" s="2"/>
      <c r="VPV5" s="2"/>
      <c r="VPX5" s="2"/>
      <c r="VPZ5" s="2"/>
      <c r="VQB5" s="2"/>
      <c r="VQD5" s="2"/>
      <c r="VQF5" s="2"/>
      <c r="VQH5" s="2"/>
      <c r="VQJ5" s="2"/>
      <c r="VQL5" s="2"/>
      <c r="VQN5" s="2"/>
      <c r="VQP5" s="2"/>
      <c r="VQR5" s="2"/>
      <c r="VQT5" s="2"/>
      <c r="VQV5" s="2"/>
      <c r="VQX5" s="2"/>
      <c r="VQZ5" s="2"/>
      <c r="VRB5" s="2"/>
      <c r="VRD5" s="2"/>
      <c r="VRF5" s="2"/>
      <c r="VRH5" s="2"/>
      <c r="VRJ5" s="2"/>
      <c r="VRL5" s="2"/>
      <c r="VRN5" s="2"/>
      <c r="VRP5" s="2"/>
      <c r="VRR5" s="2"/>
      <c r="VRT5" s="2"/>
      <c r="VRV5" s="2"/>
      <c r="VRX5" s="2"/>
      <c r="VRZ5" s="2"/>
      <c r="VSB5" s="2"/>
      <c r="VSD5" s="2"/>
      <c r="VSF5" s="2"/>
      <c r="VSH5" s="2"/>
      <c r="VSJ5" s="2"/>
      <c r="VSL5" s="2"/>
      <c r="VSN5" s="2"/>
      <c r="VSP5" s="2"/>
      <c r="VSR5" s="2"/>
      <c r="VST5" s="2"/>
      <c r="VSV5" s="2"/>
      <c r="VSX5" s="2"/>
      <c r="VSZ5" s="2"/>
      <c r="VTB5" s="2"/>
      <c r="VTD5" s="2"/>
      <c r="VTF5" s="2"/>
      <c r="VTH5" s="2"/>
      <c r="VTJ5" s="2"/>
      <c r="VTL5" s="2"/>
      <c r="VTN5" s="2"/>
      <c r="VTP5" s="2"/>
      <c r="VTR5" s="2"/>
      <c r="VTT5" s="2"/>
      <c r="VTV5" s="2"/>
      <c r="VTX5" s="2"/>
      <c r="VTZ5" s="2"/>
      <c r="VUB5" s="2"/>
      <c r="VUD5" s="2"/>
      <c r="VUF5" s="2"/>
      <c r="VUH5" s="2"/>
      <c r="VUJ5" s="2"/>
      <c r="VUL5" s="2"/>
      <c r="VUN5" s="2"/>
      <c r="VUP5" s="2"/>
      <c r="VUR5" s="2"/>
      <c r="VUT5" s="2"/>
      <c r="VUV5" s="2"/>
      <c r="VUX5" s="2"/>
      <c r="VUZ5" s="2"/>
      <c r="VVB5" s="2"/>
      <c r="VVD5" s="2"/>
      <c r="VVF5" s="2"/>
      <c r="VVH5" s="2"/>
      <c r="VVJ5" s="2"/>
      <c r="VVL5" s="2"/>
      <c r="VVN5" s="2"/>
      <c r="VVP5" s="2"/>
      <c r="VVR5" s="2"/>
      <c r="VVT5" s="2"/>
      <c r="VVV5" s="2"/>
      <c r="VVX5" s="2"/>
      <c r="VVZ5" s="2"/>
      <c r="VWB5" s="2"/>
      <c r="VWD5" s="2"/>
      <c r="VWF5" s="2"/>
      <c r="VWH5" s="2"/>
      <c r="VWJ5" s="2"/>
      <c r="VWL5" s="2"/>
      <c r="VWN5" s="2"/>
      <c r="VWP5" s="2"/>
      <c r="VWR5" s="2"/>
      <c r="VWT5" s="2"/>
      <c r="VWV5" s="2"/>
      <c r="VWX5" s="2"/>
      <c r="VWZ5" s="2"/>
      <c r="VXB5" s="2"/>
      <c r="VXD5" s="2"/>
      <c r="VXF5" s="2"/>
      <c r="VXH5" s="2"/>
      <c r="VXJ5" s="2"/>
      <c r="VXL5" s="2"/>
      <c r="VXN5" s="2"/>
      <c r="VXP5" s="2"/>
      <c r="VXR5" s="2"/>
      <c r="VXT5" s="2"/>
      <c r="VXV5" s="2"/>
      <c r="VXX5" s="2"/>
      <c r="VXZ5" s="2"/>
      <c r="VYB5" s="2"/>
      <c r="VYD5" s="2"/>
      <c r="VYF5" s="2"/>
      <c r="VYH5" s="2"/>
      <c r="VYJ5" s="2"/>
      <c r="VYL5" s="2"/>
      <c r="VYN5" s="2"/>
      <c r="VYP5" s="2"/>
      <c r="VYR5" s="2"/>
      <c r="VYT5" s="2"/>
      <c r="VYV5" s="2"/>
      <c r="VYX5" s="2"/>
      <c r="VYZ5" s="2"/>
      <c r="VZB5" s="2"/>
      <c r="VZD5" s="2"/>
      <c r="VZF5" s="2"/>
      <c r="VZH5" s="2"/>
      <c r="VZJ5" s="2"/>
      <c r="VZL5" s="2"/>
      <c r="VZN5" s="2"/>
      <c r="VZP5" s="2"/>
      <c r="VZR5" s="2"/>
      <c r="VZT5" s="2"/>
      <c r="VZV5" s="2"/>
      <c r="VZX5" s="2"/>
      <c r="VZZ5" s="2"/>
      <c r="WAB5" s="2"/>
      <c r="WAD5" s="2"/>
      <c r="WAF5" s="2"/>
      <c r="WAH5" s="2"/>
      <c r="WAJ5" s="2"/>
      <c r="WAL5" s="2"/>
      <c r="WAN5" s="2"/>
      <c r="WAP5" s="2"/>
      <c r="WAR5" s="2"/>
      <c r="WAT5" s="2"/>
      <c r="WAV5" s="2"/>
      <c r="WAX5" s="2"/>
      <c r="WAZ5" s="2"/>
      <c r="WBB5" s="2"/>
      <c r="WBD5" s="2"/>
      <c r="WBF5" s="2"/>
      <c r="WBH5" s="2"/>
      <c r="WBJ5" s="2"/>
      <c r="WBL5" s="2"/>
      <c r="WBN5" s="2"/>
      <c r="WBP5" s="2"/>
      <c r="WBR5" s="2"/>
      <c r="WBT5" s="2"/>
      <c r="WBV5" s="2"/>
      <c r="WBX5" s="2"/>
      <c r="WBZ5" s="2"/>
      <c r="WCB5" s="2"/>
      <c r="WCD5" s="2"/>
      <c r="WCF5" s="2"/>
      <c r="WCH5" s="2"/>
      <c r="WCJ5" s="2"/>
      <c r="WCL5" s="2"/>
      <c r="WCN5" s="2"/>
      <c r="WCP5" s="2"/>
      <c r="WCR5" s="2"/>
      <c r="WCT5" s="2"/>
      <c r="WCV5" s="2"/>
      <c r="WCX5" s="2"/>
      <c r="WCZ5" s="2"/>
      <c r="WDB5" s="2"/>
      <c r="WDD5" s="2"/>
      <c r="WDF5" s="2"/>
      <c r="WDH5" s="2"/>
      <c r="WDJ5" s="2"/>
      <c r="WDL5" s="2"/>
      <c r="WDN5" s="2"/>
      <c r="WDP5" s="2"/>
      <c r="WDR5" s="2"/>
      <c r="WDT5" s="2"/>
      <c r="WDV5" s="2"/>
      <c r="WDX5" s="2"/>
      <c r="WDZ5" s="2"/>
      <c r="WEB5" s="2"/>
      <c r="WED5" s="2"/>
      <c r="WEF5" s="2"/>
      <c r="WEH5" s="2"/>
      <c r="WEJ5" s="2"/>
      <c r="WEL5" s="2"/>
      <c r="WEN5" s="2"/>
      <c r="WEP5" s="2"/>
      <c r="WER5" s="2"/>
      <c r="WET5" s="2"/>
      <c r="WEV5" s="2"/>
      <c r="WEX5" s="2"/>
      <c r="WEZ5" s="2"/>
      <c r="WFB5" s="2"/>
      <c r="WFD5" s="2"/>
      <c r="WFF5" s="2"/>
      <c r="WFH5" s="2"/>
      <c r="WFJ5" s="2"/>
      <c r="WFL5" s="2"/>
      <c r="WFN5" s="2"/>
      <c r="WFP5" s="2"/>
      <c r="WFR5" s="2"/>
      <c r="WFT5" s="2"/>
      <c r="WFV5" s="2"/>
      <c r="WFX5" s="2"/>
      <c r="WFZ5" s="2"/>
      <c r="WGB5" s="2"/>
      <c r="WGD5" s="2"/>
      <c r="WGF5" s="2"/>
      <c r="WGH5" s="2"/>
      <c r="WGJ5" s="2"/>
      <c r="WGL5" s="2"/>
      <c r="WGN5" s="2"/>
      <c r="WGP5" s="2"/>
      <c r="WGR5" s="2"/>
      <c r="WGT5" s="2"/>
      <c r="WGV5" s="2"/>
      <c r="WGX5" s="2"/>
      <c r="WGZ5" s="2"/>
      <c r="WHB5" s="2"/>
      <c r="WHD5" s="2"/>
      <c r="WHF5" s="2"/>
      <c r="WHH5" s="2"/>
      <c r="WHJ5" s="2"/>
      <c r="WHL5" s="2"/>
      <c r="WHN5" s="2"/>
      <c r="WHP5" s="2"/>
      <c r="WHR5" s="2"/>
      <c r="WHT5" s="2"/>
      <c r="WHV5" s="2"/>
      <c r="WHX5" s="2"/>
      <c r="WHZ5" s="2"/>
      <c r="WIB5" s="2"/>
      <c r="WID5" s="2"/>
      <c r="WIF5" s="2"/>
      <c r="WIH5" s="2"/>
      <c r="WIJ5" s="2"/>
      <c r="WIL5" s="2"/>
      <c r="WIN5" s="2"/>
      <c r="WIP5" s="2"/>
      <c r="WIR5" s="2"/>
      <c r="WIT5" s="2"/>
      <c r="WIV5" s="2"/>
      <c r="WIX5" s="2"/>
      <c r="WIZ5" s="2"/>
      <c r="WJB5" s="2"/>
      <c r="WJD5" s="2"/>
      <c r="WJF5" s="2"/>
      <c r="WJH5" s="2"/>
      <c r="WJJ5" s="2"/>
      <c r="WJL5" s="2"/>
      <c r="WJN5" s="2"/>
      <c r="WJP5" s="2"/>
      <c r="WJR5" s="2"/>
      <c r="WJT5" s="2"/>
      <c r="WJV5" s="2"/>
      <c r="WJX5" s="2"/>
      <c r="WJZ5" s="2"/>
      <c r="WKB5" s="2"/>
      <c r="WKD5" s="2"/>
      <c r="WKF5" s="2"/>
      <c r="WKH5" s="2"/>
      <c r="WKJ5" s="2"/>
      <c r="WKL5" s="2"/>
      <c r="WKN5" s="2"/>
      <c r="WKP5" s="2"/>
      <c r="WKR5" s="2"/>
      <c r="WKT5" s="2"/>
      <c r="WKV5" s="2"/>
      <c r="WKX5" s="2"/>
      <c r="WKZ5" s="2"/>
      <c r="WLB5" s="2"/>
      <c r="WLD5" s="2"/>
      <c r="WLF5" s="2"/>
      <c r="WLH5" s="2"/>
      <c r="WLJ5" s="2"/>
      <c r="WLL5" s="2"/>
      <c r="WLN5" s="2"/>
      <c r="WLP5" s="2"/>
      <c r="WLR5" s="2"/>
      <c r="WLT5" s="2"/>
      <c r="WLV5" s="2"/>
      <c r="WLX5" s="2"/>
      <c r="WLZ5" s="2"/>
      <c r="WMB5" s="2"/>
      <c r="WMD5" s="2"/>
      <c r="WMF5" s="2"/>
      <c r="WMH5" s="2"/>
      <c r="WMJ5" s="2"/>
      <c r="WML5" s="2"/>
      <c r="WMN5" s="2"/>
      <c r="WMP5" s="2"/>
      <c r="WMR5" s="2"/>
      <c r="WMT5" s="2"/>
      <c r="WMV5" s="2"/>
      <c r="WMX5" s="2"/>
      <c r="WMZ5" s="2"/>
      <c r="WNB5" s="2"/>
      <c r="WND5" s="2"/>
      <c r="WNF5" s="2"/>
      <c r="WNH5" s="2"/>
      <c r="WNJ5" s="2"/>
      <c r="WNL5" s="2"/>
      <c r="WNN5" s="2"/>
      <c r="WNP5" s="2"/>
      <c r="WNR5" s="2"/>
      <c r="WNT5" s="2"/>
      <c r="WNV5" s="2"/>
      <c r="WNX5" s="2"/>
      <c r="WNZ5" s="2"/>
      <c r="WOB5" s="2"/>
      <c r="WOD5" s="2"/>
      <c r="WOF5" s="2"/>
      <c r="WOH5" s="2"/>
      <c r="WOJ5" s="2"/>
      <c r="WOL5" s="2"/>
      <c r="WON5" s="2"/>
      <c r="WOP5" s="2"/>
      <c r="WOR5" s="2"/>
      <c r="WOT5" s="2"/>
      <c r="WOV5" s="2"/>
      <c r="WOX5" s="2"/>
      <c r="WOZ5" s="2"/>
      <c r="WPB5" s="2"/>
      <c r="WPD5" s="2"/>
      <c r="WPF5" s="2"/>
      <c r="WPH5" s="2"/>
      <c r="WPJ5" s="2"/>
      <c r="WPL5" s="2"/>
      <c r="WPN5" s="2"/>
      <c r="WPP5" s="2"/>
      <c r="WPR5" s="2"/>
      <c r="WPT5" s="2"/>
      <c r="WPV5" s="2"/>
      <c r="WPX5" s="2"/>
      <c r="WPZ5" s="2"/>
      <c r="WQB5" s="2"/>
      <c r="WQD5" s="2"/>
      <c r="WQF5" s="2"/>
      <c r="WQH5" s="2"/>
      <c r="WQJ5" s="2"/>
      <c r="WQL5" s="2"/>
      <c r="WQN5" s="2"/>
      <c r="WQP5" s="2"/>
      <c r="WQR5" s="2"/>
      <c r="WQT5" s="2"/>
      <c r="WQV5" s="2"/>
      <c r="WQX5" s="2"/>
      <c r="WQZ5" s="2"/>
      <c r="WRB5" s="2"/>
      <c r="WRD5" s="2"/>
      <c r="WRF5" s="2"/>
      <c r="WRH5" s="2"/>
      <c r="WRJ5" s="2"/>
      <c r="WRL5" s="2"/>
      <c r="WRN5" s="2"/>
      <c r="WRP5" s="2"/>
      <c r="WRR5" s="2"/>
      <c r="WRT5" s="2"/>
      <c r="WRV5" s="2"/>
      <c r="WRX5" s="2"/>
      <c r="WRZ5" s="2"/>
      <c r="WSB5" s="2"/>
      <c r="WSD5" s="2"/>
      <c r="WSF5" s="2"/>
      <c r="WSH5" s="2"/>
      <c r="WSJ5" s="2"/>
      <c r="WSL5" s="2"/>
      <c r="WSN5" s="2"/>
      <c r="WSP5" s="2"/>
      <c r="WSR5" s="2"/>
      <c r="WST5" s="2"/>
      <c r="WSV5" s="2"/>
      <c r="WSX5" s="2"/>
      <c r="WSZ5" s="2"/>
      <c r="WTB5" s="2"/>
      <c r="WTD5" s="2"/>
      <c r="WTF5" s="2"/>
      <c r="WTH5" s="2"/>
      <c r="WTJ5" s="2"/>
      <c r="WTL5" s="2"/>
      <c r="WTN5" s="2"/>
      <c r="WTP5" s="2"/>
      <c r="WTR5" s="2"/>
      <c r="WTT5" s="2"/>
      <c r="WTV5" s="2"/>
      <c r="WTX5" s="2"/>
      <c r="WTZ5" s="2"/>
      <c r="WUB5" s="2"/>
      <c r="WUD5" s="2"/>
      <c r="WUF5" s="2"/>
      <c r="WUH5" s="2"/>
      <c r="WUJ5" s="2"/>
      <c r="WUL5" s="2"/>
      <c r="WUN5" s="2"/>
      <c r="WUP5" s="2"/>
      <c r="WUR5" s="2"/>
      <c r="WUT5" s="2"/>
      <c r="WUV5" s="2"/>
      <c r="WUX5" s="2"/>
      <c r="WUZ5" s="2"/>
      <c r="WVB5" s="2"/>
      <c r="WVD5" s="2"/>
      <c r="WVF5" s="2"/>
      <c r="WVH5" s="2"/>
      <c r="WVJ5" s="2"/>
      <c r="WVL5" s="2"/>
      <c r="WVN5" s="2"/>
      <c r="WVP5" s="2"/>
      <c r="WVR5" s="2"/>
      <c r="WVT5" s="2"/>
      <c r="WVV5" s="2"/>
      <c r="WVX5" s="2"/>
      <c r="WVZ5" s="2"/>
      <c r="WWB5" s="2"/>
      <c r="WWD5" s="2"/>
      <c r="WWF5" s="2"/>
      <c r="WWH5" s="2"/>
      <c r="WWJ5" s="2"/>
      <c r="WWL5" s="2"/>
      <c r="WWN5" s="2"/>
      <c r="WWP5" s="2"/>
      <c r="WWR5" s="2"/>
      <c r="WWT5" s="2"/>
      <c r="WWV5" s="2"/>
      <c r="WWX5" s="2"/>
      <c r="WWZ5" s="2"/>
      <c r="WXB5" s="2"/>
      <c r="WXD5" s="2"/>
      <c r="WXF5" s="2"/>
      <c r="WXH5" s="2"/>
      <c r="WXJ5" s="2"/>
      <c r="WXL5" s="2"/>
      <c r="WXN5" s="2"/>
      <c r="WXP5" s="2"/>
      <c r="WXR5" s="2"/>
      <c r="WXT5" s="2"/>
      <c r="WXV5" s="2"/>
      <c r="WXX5" s="2"/>
      <c r="WXZ5" s="2"/>
      <c r="WYB5" s="2"/>
      <c r="WYD5" s="2"/>
      <c r="WYF5" s="2"/>
      <c r="WYH5" s="2"/>
      <c r="WYJ5" s="2"/>
      <c r="WYL5" s="2"/>
      <c r="WYN5" s="2"/>
      <c r="WYP5" s="2"/>
      <c r="WYR5" s="2"/>
      <c r="WYT5" s="2"/>
      <c r="WYV5" s="2"/>
      <c r="WYX5" s="2"/>
      <c r="WYZ5" s="2"/>
      <c r="WZB5" s="2"/>
      <c r="WZD5" s="2"/>
      <c r="WZF5" s="2"/>
      <c r="WZH5" s="2"/>
      <c r="WZJ5" s="2"/>
      <c r="WZL5" s="2"/>
      <c r="WZN5" s="2"/>
      <c r="WZP5" s="2"/>
      <c r="WZR5" s="2"/>
      <c r="WZT5" s="2"/>
      <c r="WZV5" s="2"/>
      <c r="WZX5" s="2"/>
      <c r="WZZ5" s="2"/>
      <c r="XAB5" s="2"/>
      <c r="XAD5" s="2"/>
      <c r="XAF5" s="2"/>
      <c r="XAH5" s="2"/>
      <c r="XAJ5" s="2"/>
      <c r="XAL5" s="2"/>
      <c r="XAN5" s="2"/>
      <c r="XAP5" s="2"/>
      <c r="XAR5" s="2"/>
      <c r="XAT5" s="2"/>
      <c r="XAV5" s="2"/>
      <c r="XAX5" s="2"/>
      <c r="XAZ5" s="2"/>
      <c r="XBB5" s="2"/>
      <c r="XBD5" s="2"/>
      <c r="XBF5" s="2"/>
      <c r="XBH5" s="2"/>
      <c r="XBJ5" s="2"/>
      <c r="XBL5" s="2"/>
      <c r="XBN5" s="2"/>
      <c r="XBP5" s="2"/>
      <c r="XBR5" s="2"/>
      <c r="XBT5" s="2"/>
      <c r="XBV5" s="2"/>
      <c r="XBX5" s="2"/>
      <c r="XBZ5" s="2"/>
      <c r="XCB5" s="2"/>
      <c r="XCD5" s="2"/>
      <c r="XCF5" s="2"/>
      <c r="XCH5" s="2"/>
      <c r="XCJ5" s="2"/>
      <c r="XCL5" s="2"/>
      <c r="XCN5" s="2"/>
      <c r="XCP5" s="2"/>
      <c r="XCR5" s="2"/>
      <c r="XCT5" s="2"/>
      <c r="XCV5" s="2"/>
      <c r="XCX5" s="2"/>
      <c r="XCZ5" s="2"/>
      <c r="XDB5" s="2"/>
      <c r="XDD5" s="2"/>
      <c r="XDF5" s="2"/>
      <c r="XDH5" s="2"/>
      <c r="XDJ5" s="2"/>
      <c r="XDL5" s="2"/>
      <c r="XDN5" s="2"/>
      <c r="XDP5" s="2"/>
      <c r="XDR5" s="2"/>
      <c r="XDT5" s="2"/>
      <c r="XDV5" s="2"/>
      <c r="XDX5" s="2"/>
      <c r="XDZ5" s="2"/>
      <c r="XEB5" s="2"/>
      <c r="XED5" s="2"/>
      <c r="XEF5" s="2"/>
      <c r="XEH5" s="2"/>
      <c r="XEJ5" s="2"/>
      <c r="XEL5" s="2"/>
      <c r="XEN5" s="2"/>
      <c r="XEP5" s="2"/>
      <c r="XER5" s="2"/>
      <c r="XET5" s="2"/>
      <c r="XEV5" s="2"/>
      <c r="XEX5" s="2"/>
      <c r="XEZ5" s="2"/>
    </row>
    <row r="6" spans="1:1024 1026:2048 2050:3072 3074:4096 4098:5120 5122:6144 6146:7168 7170:8192 8194:9216 9218:10240 10242:11264 11266:12288 12290:13312 13314:14336 14338:15360 15362:16380" x14ac:dyDescent="0.3"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</row>
    <row r="7" spans="1:1024 1026:2048 2050:3072 3074:4096 4098:5120 5122:6144 6146:7168 7170:8192 8194:9216 9218:10240 10242:11264 11266:12288 12290:13312 13314:14336 14338:15360 15362:16380" x14ac:dyDescent="0.3">
      <c r="B7" s="239" t="s">
        <v>339</v>
      </c>
      <c r="C7" s="239"/>
      <c r="D7" s="239"/>
      <c r="E7" s="71"/>
      <c r="F7" s="240" t="s">
        <v>340</v>
      </c>
      <c r="G7" s="240"/>
      <c r="H7" s="71"/>
      <c r="I7" s="240" t="s">
        <v>342</v>
      </c>
      <c r="J7" s="240"/>
      <c r="K7" s="71"/>
      <c r="L7" s="240" t="s">
        <v>159</v>
      </c>
      <c r="M7" s="240"/>
    </row>
    <row r="8" spans="1:1024 1026:2048 2050:3072 3074:4096 4098:5120 5122:6144 6146:7168 7170:8192 8194:9216 9218:10240 10242:11264 11266:12288 12290:13312 13314:14336 14338:15360 15362:16380" x14ac:dyDescent="0.3"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</row>
    <row r="9" spans="1:1024 1026:2048 2050:3072 3074:4096 4098:5120 5122:6144 6146:7168 7170:8192 8194:9216 9218:10240 10242:11264 11266:12288 12290:13312 13314:14336 14338:15360 15362:16380" x14ac:dyDescent="0.3">
      <c r="B9" s="60" t="s">
        <v>161</v>
      </c>
      <c r="C9" s="120" t="s">
        <v>162</v>
      </c>
      <c r="D9" s="120" t="s">
        <v>163</v>
      </c>
      <c r="E9" s="71"/>
      <c r="F9" s="120" t="s">
        <v>162</v>
      </c>
      <c r="G9" s="120" t="s">
        <v>163</v>
      </c>
      <c r="H9" s="71"/>
      <c r="I9" s="120" t="s">
        <v>162</v>
      </c>
      <c r="J9" s="201" t="s">
        <v>163</v>
      </c>
      <c r="K9" s="71"/>
      <c r="L9" s="120" t="s">
        <v>162</v>
      </c>
      <c r="M9" s="120" t="s">
        <v>163</v>
      </c>
    </row>
    <row r="10" spans="1:1024 1026:2048 2050:3072 3074:4096 4098:5120 5122:6144 6146:7168 7170:8192 8194:9216 9218:10240 10242:11264 11266:12288 12290:13312 13314:14336 14338:15360 15362:16380" x14ac:dyDescent="0.3">
      <c r="B10" s="179">
        <v>44287</v>
      </c>
      <c r="C10" s="80">
        <v>570.09</v>
      </c>
      <c r="D10" s="71"/>
      <c r="E10" s="178"/>
      <c r="F10" s="80">
        <v>530.66999999999996</v>
      </c>
      <c r="G10" s="71"/>
      <c r="H10" s="178"/>
      <c r="I10" s="80">
        <v>2293.66</v>
      </c>
      <c r="J10" s="71"/>
      <c r="K10" s="71"/>
      <c r="L10" s="80">
        <v>14631.1</v>
      </c>
      <c r="M10" s="71"/>
    </row>
    <row r="11" spans="1:1024 1026:2048 2050:3072 3074:4096 4098:5120 5122:6144 6146:7168 7170:8192 8194:9216 9218:10240 10242:11264 11266:12288 12290:13312 13314:14336 14338:15360 15362:16380" x14ac:dyDescent="0.3">
      <c r="B11" s="179">
        <v>44317</v>
      </c>
      <c r="C11" s="80">
        <v>652.62</v>
      </c>
      <c r="D11" s="81">
        <f t="shared" ref="D11:D42" si="0">C11/C10-1</f>
        <v>0.1447666157975056</v>
      </c>
      <c r="E11" s="178"/>
      <c r="F11" s="80">
        <v>545.79</v>
      </c>
      <c r="G11" s="81">
        <f t="shared" ref="G11:G42" si="1">F11/F10-1</f>
        <v>2.8492283339928814E-2</v>
      </c>
      <c r="H11" s="178"/>
      <c r="I11" s="80">
        <v>2497.56</v>
      </c>
      <c r="J11" s="81">
        <f t="shared" ref="J11:J42" si="2">I11/I10-1</f>
        <v>8.8897221035375784E-2</v>
      </c>
      <c r="K11" s="71"/>
      <c r="L11" s="80">
        <v>15582.8</v>
      </c>
      <c r="M11" s="81">
        <f>L11/L10-1</f>
        <v>6.5046373820150105E-2</v>
      </c>
    </row>
    <row r="12" spans="1:1024 1026:2048 2050:3072 3074:4096 4098:5120 5122:6144 6146:7168 7170:8192 8194:9216 9218:10240 10242:11264 11266:12288 12290:13312 13314:14336 14338:15360 15362:16380" x14ac:dyDescent="0.3">
      <c r="B12" s="179">
        <v>44348</v>
      </c>
      <c r="C12" s="80">
        <v>651.92999999999995</v>
      </c>
      <c r="D12" s="81">
        <f t="shared" si="0"/>
        <v>-1.0572768226534413E-3</v>
      </c>
      <c r="E12" s="178"/>
      <c r="F12" s="80">
        <v>537.25</v>
      </c>
      <c r="G12" s="81">
        <f t="shared" si="1"/>
        <v>-1.5647043734769772E-2</v>
      </c>
      <c r="H12" s="178"/>
      <c r="I12" s="80">
        <v>2488.85</v>
      </c>
      <c r="J12" s="81">
        <f t="shared" si="2"/>
        <v>-3.4874037060170782E-3</v>
      </c>
      <c r="K12" s="71"/>
      <c r="L12" s="80">
        <v>15721.5</v>
      </c>
      <c r="M12" s="81">
        <f t="shared" ref="M12:M69" si="3">L12/L11-1</f>
        <v>8.9008393870164682E-3</v>
      </c>
    </row>
    <row r="13" spans="1:1024 1026:2048 2050:3072 3074:4096 4098:5120 5122:6144 6146:7168 7170:8192 8194:9216 9218:10240 10242:11264 11266:12288 12290:13312 13314:14336 14338:15360 15362:16380" x14ac:dyDescent="0.3">
      <c r="B13" s="179">
        <v>44378</v>
      </c>
      <c r="C13" s="80">
        <v>683.21</v>
      </c>
      <c r="D13" s="81">
        <f t="shared" si="0"/>
        <v>4.798061141533605E-2</v>
      </c>
      <c r="E13" s="178"/>
      <c r="F13" s="80">
        <v>601.37</v>
      </c>
      <c r="G13" s="81">
        <f t="shared" si="1"/>
        <v>0.11934853420195446</v>
      </c>
      <c r="H13" s="178"/>
      <c r="I13" s="80">
        <v>2580.52</v>
      </c>
      <c r="J13" s="81">
        <f t="shared" si="2"/>
        <v>3.683227193282046E-2</v>
      </c>
      <c r="K13" s="71"/>
      <c r="L13" s="80">
        <v>15763.05</v>
      </c>
      <c r="M13" s="81">
        <f t="shared" si="3"/>
        <v>2.6428775880162902E-3</v>
      </c>
    </row>
    <row r="14" spans="1:1024 1026:2048 2050:3072 3074:4096 4098:5120 5122:6144 6146:7168 7170:8192 8194:9216 9218:10240 10242:11264 11266:12288 12290:13312 13314:14336 14338:15360 15362:16380" x14ac:dyDescent="0.3">
      <c r="B14" s="179">
        <v>44409</v>
      </c>
      <c r="C14" s="80">
        <v>664.45</v>
      </c>
      <c r="D14" s="81">
        <f t="shared" si="0"/>
        <v>-2.7458614481638111E-2</v>
      </c>
      <c r="E14" s="178"/>
      <c r="F14" s="80">
        <v>595.55999999999995</v>
      </c>
      <c r="G14" s="81">
        <f t="shared" si="1"/>
        <v>-9.6612734256781296E-3</v>
      </c>
      <c r="H14" s="178"/>
      <c r="I14" s="80">
        <v>2561.5500000000002</v>
      </c>
      <c r="J14" s="81">
        <f t="shared" si="2"/>
        <v>-7.3512315347293855E-3</v>
      </c>
      <c r="K14" s="71"/>
      <c r="L14" s="80">
        <v>17132.2</v>
      </c>
      <c r="M14" s="81">
        <f t="shared" si="3"/>
        <v>8.6858190515160638E-2</v>
      </c>
    </row>
    <row r="15" spans="1:1024 1026:2048 2050:3072 3074:4096 4098:5120 5122:6144 6146:7168 7170:8192 8194:9216 9218:10240 10242:11264 11266:12288 12290:13312 13314:14336 14338:15360 15362:16380" x14ac:dyDescent="0.3">
      <c r="B15" s="179">
        <v>44440</v>
      </c>
      <c r="C15" s="80">
        <v>658.37</v>
      </c>
      <c r="D15" s="81">
        <f t="shared" si="0"/>
        <v>-9.1504251636692624E-3</v>
      </c>
      <c r="E15" s="178"/>
      <c r="F15" s="80">
        <v>608.42999999999995</v>
      </c>
      <c r="G15" s="81">
        <f t="shared" si="1"/>
        <v>2.1609913358855648E-2</v>
      </c>
      <c r="H15" s="178"/>
      <c r="I15" s="80">
        <v>2536.1</v>
      </c>
      <c r="J15" s="81">
        <f t="shared" si="2"/>
        <v>-9.9353906814234616E-3</v>
      </c>
      <c r="K15" s="71"/>
      <c r="L15" s="80">
        <v>17618.150000000001</v>
      </c>
      <c r="M15" s="81">
        <f t="shared" si="3"/>
        <v>2.8364716732235173E-2</v>
      </c>
    </row>
    <row r="16" spans="1:1024 1026:2048 2050:3072 3074:4096 4098:5120 5122:6144 6146:7168 7170:8192 8194:9216 9218:10240 10242:11264 11266:12288 12290:13312 13314:14336 14338:15360 15362:16380" x14ac:dyDescent="0.3">
      <c r="B16" s="179">
        <v>44470</v>
      </c>
      <c r="C16" s="80">
        <v>603</v>
      </c>
      <c r="D16" s="81">
        <f t="shared" si="0"/>
        <v>-8.4101644971672496E-2</v>
      </c>
      <c r="E16" s="178"/>
      <c r="F16" s="80">
        <v>523.76</v>
      </c>
      <c r="G16" s="81">
        <f t="shared" si="1"/>
        <v>-0.13916144831780153</v>
      </c>
      <c r="H16" s="178"/>
      <c r="I16" s="80">
        <v>2367.8000000000002</v>
      </c>
      <c r="J16" s="81">
        <f t="shared" si="2"/>
        <v>-6.636173652458488E-2</v>
      </c>
      <c r="K16" s="71"/>
      <c r="L16" s="80">
        <v>17671.650000000001</v>
      </c>
      <c r="M16" s="81">
        <f t="shared" si="3"/>
        <v>3.0366411910445201E-3</v>
      </c>
    </row>
    <row r="17" spans="2:13" x14ac:dyDescent="0.3">
      <c r="B17" s="179">
        <v>44501</v>
      </c>
      <c r="C17" s="80">
        <v>613.66</v>
      </c>
      <c r="D17" s="81">
        <f t="shared" si="0"/>
        <v>1.7678275290215595E-2</v>
      </c>
      <c r="E17" s="178"/>
      <c r="F17" s="80">
        <v>567.99</v>
      </c>
      <c r="G17" s="81">
        <f t="shared" si="1"/>
        <v>8.4447074996181426E-2</v>
      </c>
      <c r="H17" s="178"/>
      <c r="I17" s="80">
        <v>2201.4299999999998</v>
      </c>
      <c r="J17" s="81">
        <f t="shared" si="2"/>
        <v>-7.0263535771602492E-2</v>
      </c>
      <c r="K17" s="71"/>
      <c r="L17" s="80">
        <v>16983.2</v>
      </c>
      <c r="M17" s="81">
        <f t="shared" si="3"/>
        <v>-3.8957878862471818E-2</v>
      </c>
    </row>
    <row r="18" spans="2:13" x14ac:dyDescent="0.3">
      <c r="B18" s="179">
        <v>44531</v>
      </c>
      <c r="C18" s="80">
        <v>627.78</v>
      </c>
      <c r="D18" s="81">
        <f t="shared" si="0"/>
        <v>2.3009484079131726E-2</v>
      </c>
      <c r="E18" s="178"/>
      <c r="F18" s="80">
        <v>568.46</v>
      </c>
      <c r="G18" s="81">
        <f t="shared" si="1"/>
        <v>8.2747935703109121E-4</v>
      </c>
      <c r="H18" s="178"/>
      <c r="I18" s="80">
        <v>2110.65</v>
      </c>
      <c r="J18" s="81">
        <f t="shared" si="2"/>
        <v>-4.1236832422561598E-2</v>
      </c>
      <c r="K18" s="71"/>
      <c r="L18" s="80">
        <v>17354.05</v>
      </c>
      <c r="M18" s="81">
        <f t="shared" si="3"/>
        <v>2.1836285270149247E-2</v>
      </c>
    </row>
    <row r="19" spans="2:13" x14ac:dyDescent="0.3">
      <c r="B19" s="179">
        <v>44562</v>
      </c>
      <c r="C19" s="80">
        <v>587.75</v>
      </c>
      <c r="D19" s="81">
        <f t="shared" si="0"/>
        <v>-6.3764376055305938E-2</v>
      </c>
      <c r="E19" s="178"/>
      <c r="F19" s="80">
        <v>546.61</v>
      </c>
      <c r="G19" s="81">
        <f t="shared" si="1"/>
        <v>-3.8437181156106059E-2</v>
      </c>
      <c r="H19" s="178"/>
      <c r="I19" s="80">
        <v>2003.52</v>
      </c>
      <c r="J19" s="81">
        <f t="shared" si="2"/>
        <v>-5.0756875843934401E-2</v>
      </c>
      <c r="K19" s="71"/>
      <c r="L19" s="80">
        <v>17339.849999999999</v>
      </c>
      <c r="M19" s="81">
        <f t="shared" si="3"/>
        <v>-8.1825279977876253E-4</v>
      </c>
    </row>
    <row r="20" spans="2:13" x14ac:dyDescent="0.3">
      <c r="B20" s="179">
        <v>44593</v>
      </c>
      <c r="C20" s="80">
        <v>561.87</v>
      </c>
      <c r="D20" s="81">
        <f t="shared" si="0"/>
        <v>-4.4032326669502297E-2</v>
      </c>
      <c r="E20" s="178"/>
      <c r="F20" s="80">
        <v>437.74</v>
      </c>
      <c r="G20" s="81">
        <f t="shared" si="1"/>
        <v>-0.19917308501491005</v>
      </c>
      <c r="H20" s="178"/>
      <c r="I20" s="80">
        <v>1773.76</v>
      </c>
      <c r="J20" s="81">
        <f t="shared" si="2"/>
        <v>-0.11467816642708828</v>
      </c>
      <c r="K20" s="71"/>
      <c r="L20" s="80">
        <v>16793.900000000001</v>
      </c>
      <c r="M20" s="81">
        <f t="shared" si="3"/>
        <v>-3.1485278131010208E-2</v>
      </c>
    </row>
    <row r="21" spans="2:13" x14ac:dyDescent="0.3">
      <c r="B21" s="179">
        <v>44621</v>
      </c>
      <c r="C21" s="80">
        <v>569.4</v>
      </c>
      <c r="D21" s="81">
        <f t="shared" si="0"/>
        <v>1.3401676544396279E-2</v>
      </c>
      <c r="E21" s="178"/>
      <c r="F21" s="80">
        <v>449.72</v>
      </c>
      <c r="G21" s="81">
        <f t="shared" si="1"/>
        <v>2.7367843925617974E-2</v>
      </c>
      <c r="H21" s="178"/>
      <c r="I21" s="80">
        <v>1590.7</v>
      </c>
      <c r="J21" s="81">
        <f t="shared" si="2"/>
        <v>-0.10320449215226413</v>
      </c>
      <c r="K21" s="71"/>
      <c r="L21" s="80">
        <v>17464.75</v>
      </c>
      <c r="M21" s="81">
        <f t="shared" si="3"/>
        <v>3.9946051840251462E-2</v>
      </c>
    </row>
    <row r="22" spans="2:13" x14ac:dyDescent="0.3">
      <c r="B22" s="179">
        <v>44652</v>
      </c>
      <c r="C22" s="80">
        <v>584.78</v>
      </c>
      <c r="D22" s="81">
        <f t="shared" si="0"/>
        <v>2.701088865472423E-2</v>
      </c>
      <c r="E22" s="178"/>
      <c r="F22" s="80">
        <v>452.13</v>
      </c>
      <c r="G22" s="81">
        <f t="shared" si="1"/>
        <v>5.3588899759848818E-3</v>
      </c>
      <c r="H22" s="178"/>
      <c r="I22" s="80">
        <v>1541.32</v>
      </c>
      <c r="J22" s="81">
        <f t="shared" si="2"/>
        <v>-3.1042937071729448E-2</v>
      </c>
      <c r="K22" s="71"/>
      <c r="L22" s="80">
        <v>17102.55</v>
      </c>
      <c r="M22" s="81">
        <f t="shared" si="3"/>
        <v>-2.0738916961307807E-2</v>
      </c>
    </row>
    <row r="23" spans="2:13" x14ac:dyDescent="0.3">
      <c r="B23" s="179">
        <v>44682</v>
      </c>
      <c r="C23" s="80">
        <v>499.99</v>
      </c>
      <c r="D23" s="81">
        <f t="shared" si="0"/>
        <v>-0.14499469886111016</v>
      </c>
      <c r="E23" s="178"/>
      <c r="F23" s="80">
        <v>386.1</v>
      </c>
      <c r="G23" s="81">
        <f t="shared" si="1"/>
        <v>-0.14604206754694438</v>
      </c>
      <c r="H23" s="178"/>
      <c r="I23" s="80">
        <v>1585.25</v>
      </c>
      <c r="J23" s="81">
        <f t="shared" si="2"/>
        <v>2.8501544131004586E-2</v>
      </c>
      <c r="K23" s="71"/>
      <c r="L23" s="80">
        <v>16584.55</v>
      </c>
      <c r="M23" s="81">
        <f t="shared" si="3"/>
        <v>-3.0287881046978327E-2</v>
      </c>
    </row>
    <row r="24" spans="2:13" x14ac:dyDescent="0.3">
      <c r="B24" s="179">
        <v>44713</v>
      </c>
      <c r="C24" s="80">
        <v>462.24</v>
      </c>
      <c r="D24" s="81">
        <f t="shared" si="0"/>
        <v>-7.5501510030200558E-2</v>
      </c>
      <c r="E24" s="178"/>
      <c r="F24" s="80">
        <v>355.97</v>
      </c>
      <c r="G24" s="81">
        <f t="shared" si="1"/>
        <v>-7.8036778036777998E-2</v>
      </c>
      <c r="H24" s="178"/>
      <c r="I24" s="80">
        <v>1382.48</v>
      </c>
      <c r="J24" s="81">
        <f t="shared" si="2"/>
        <v>-0.12791042422330856</v>
      </c>
      <c r="K24" s="71"/>
      <c r="L24" s="80">
        <v>15780.25</v>
      </c>
      <c r="M24" s="81">
        <f t="shared" si="3"/>
        <v>-4.8496944445281853E-2</v>
      </c>
    </row>
    <row r="25" spans="2:13" x14ac:dyDescent="0.3">
      <c r="B25" s="179">
        <v>44743</v>
      </c>
      <c r="C25" s="80">
        <v>508.29</v>
      </c>
      <c r="D25" s="81">
        <f t="shared" si="0"/>
        <v>9.9623572170301156E-2</v>
      </c>
      <c r="E25" s="178"/>
      <c r="F25" s="80">
        <v>386.61</v>
      </c>
      <c r="G25" s="81">
        <f t="shared" si="1"/>
        <v>8.6074669213697774E-2</v>
      </c>
      <c r="H25" s="178"/>
      <c r="I25" s="80">
        <v>1378.57</v>
      </c>
      <c r="J25" s="81">
        <f t="shared" si="2"/>
        <v>-2.8282506799375273E-3</v>
      </c>
      <c r="K25" s="71"/>
      <c r="L25" s="80">
        <v>17158.25</v>
      </c>
      <c r="M25" s="81">
        <f t="shared" si="3"/>
        <v>8.7324345305048956E-2</v>
      </c>
    </row>
    <row r="26" spans="2:13" x14ac:dyDescent="0.3">
      <c r="B26" s="179">
        <v>44774</v>
      </c>
      <c r="C26" s="80">
        <v>548.16</v>
      </c>
      <c r="D26" s="81">
        <f t="shared" si="0"/>
        <v>7.8439473528890913E-2</v>
      </c>
      <c r="E26" s="178"/>
      <c r="F26" s="80">
        <v>488.36</v>
      </c>
      <c r="G26" s="81">
        <f t="shared" si="1"/>
        <v>0.2631851219575283</v>
      </c>
      <c r="H26" s="178"/>
      <c r="I26" s="80">
        <v>1663.41</v>
      </c>
      <c r="J26" s="81">
        <f t="shared" si="2"/>
        <v>0.20661990323306045</v>
      </c>
      <c r="K26" s="71"/>
      <c r="L26" s="80">
        <v>17759.3</v>
      </c>
      <c r="M26" s="81">
        <f t="shared" si="3"/>
        <v>3.5029796162195925E-2</v>
      </c>
    </row>
    <row r="27" spans="2:13" x14ac:dyDescent="0.3">
      <c r="B27" s="179">
        <v>44805</v>
      </c>
      <c r="C27" s="80">
        <v>504.28</v>
      </c>
      <c r="D27" s="81">
        <f t="shared" si="0"/>
        <v>-8.0049620548744871E-2</v>
      </c>
      <c r="E27" s="178"/>
      <c r="F27" s="80">
        <v>473.75</v>
      </c>
      <c r="G27" s="81">
        <f t="shared" si="1"/>
        <v>-2.9916455074125659E-2</v>
      </c>
      <c r="H27" s="178"/>
      <c r="I27" s="80">
        <v>1487.91</v>
      </c>
      <c r="J27" s="81">
        <f t="shared" si="2"/>
        <v>-0.10550615903475391</v>
      </c>
      <c r="K27" s="71"/>
      <c r="L27" s="80">
        <v>17094.349999999999</v>
      </c>
      <c r="M27" s="81">
        <f t="shared" si="3"/>
        <v>-3.7442354146841383E-2</v>
      </c>
    </row>
    <row r="28" spans="2:13" x14ac:dyDescent="0.3">
      <c r="B28" s="179">
        <v>44835</v>
      </c>
      <c r="C28" s="80">
        <v>479.05</v>
      </c>
      <c r="D28" s="81">
        <f t="shared" si="0"/>
        <v>-5.003172840485437E-2</v>
      </c>
      <c r="E28" s="178"/>
      <c r="F28" s="80">
        <v>468.97</v>
      </c>
      <c r="G28" s="81">
        <f t="shared" si="1"/>
        <v>-1.0089709762532872E-2</v>
      </c>
      <c r="H28" s="178"/>
      <c r="I28" s="80">
        <v>1432.74</v>
      </c>
      <c r="J28" s="81">
        <f t="shared" si="2"/>
        <v>-3.7078855575942149E-2</v>
      </c>
      <c r="K28" s="71"/>
      <c r="L28" s="80">
        <v>18012.2</v>
      </c>
      <c r="M28" s="81">
        <f t="shared" si="3"/>
        <v>5.3693179325332796E-2</v>
      </c>
    </row>
    <row r="29" spans="2:13" x14ac:dyDescent="0.3">
      <c r="B29" s="179">
        <v>44866</v>
      </c>
      <c r="C29" s="80">
        <v>508.74</v>
      </c>
      <c r="D29" s="81">
        <f t="shared" si="0"/>
        <v>6.1976829141008327E-2</v>
      </c>
      <c r="E29" s="178"/>
      <c r="F29" s="80">
        <v>433.99</v>
      </c>
      <c r="G29" s="81">
        <f t="shared" si="1"/>
        <v>-7.4588992899332629E-2</v>
      </c>
      <c r="H29" s="178"/>
      <c r="I29" s="80">
        <v>1331.96</v>
      </c>
      <c r="J29" s="81">
        <f t="shared" si="2"/>
        <v>-7.034074570403559E-2</v>
      </c>
      <c r="K29" s="71"/>
      <c r="L29" s="80">
        <v>18758.349999999999</v>
      </c>
      <c r="M29" s="81">
        <f t="shared" si="3"/>
        <v>4.1424701035964295E-2</v>
      </c>
    </row>
    <row r="30" spans="2:13" x14ac:dyDescent="0.3">
      <c r="B30" s="179">
        <v>44896</v>
      </c>
      <c r="C30" s="80">
        <v>475.61</v>
      </c>
      <c r="D30" s="81">
        <f t="shared" si="0"/>
        <v>-6.5121673153280657E-2</v>
      </c>
      <c r="E30" s="178"/>
      <c r="F30" s="80">
        <v>423.76</v>
      </c>
      <c r="G30" s="81">
        <f t="shared" si="1"/>
        <v>-2.3571971704417161E-2</v>
      </c>
      <c r="H30" s="178"/>
      <c r="I30" s="80">
        <v>1292.6199999999999</v>
      </c>
      <c r="J30" s="81">
        <f t="shared" si="2"/>
        <v>-2.9535421484128799E-2</v>
      </c>
      <c r="K30" s="71"/>
      <c r="L30" s="80">
        <v>18105.3</v>
      </c>
      <c r="M30" s="81">
        <f t="shared" si="3"/>
        <v>-3.4813829574562805E-2</v>
      </c>
    </row>
    <row r="31" spans="2:13" x14ac:dyDescent="0.3">
      <c r="B31" s="179">
        <v>44927</v>
      </c>
      <c r="C31" s="80">
        <v>449.23</v>
      </c>
      <c r="D31" s="81">
        <f t="shared" si="0"/>
        <v>-5.54656125817371E-2</v>
      </c>
      <c r="E31" s="178"/>
      <c r="F31" s="80">
        <v>408.51</v>
      </c>
      <c r="G31" s="81">
        <f t="shared" si="1"/>
        <v>-3.5987351330941997E-2</v>
      </c>
      <c r="H31" s="178"/>
      <c r="I31" s="80">
        <v>1168.1300000000001</v>
      </c>
      <c r="J31" s="81">
        <f t="shared" si="2"/>
        <v>-9.6308273119710242E-2</v>
      </c>
      <c r="K31" s="71"/>
      <c r="L31" s="80">
        <v>17662.150000000001</v>
      </c>
      <c r="M31" s="81">
        <f t="shared" si="3"/>
        <v>-2.4476258333195111E-2</v>
      </c>
    </row>
    <row r="32" spans="2:13" x14ac:dyDescent="0.3">
      <c r="B32" s="179">
        <v>44958</v>
      </c>
      <c r="C32" s="80">
        <v>474.59</v>
      </c>
      <c r="D32" s="81">
        <f t="shared" si="0"/>
        <v>5.645215145916338E-2</v>
      </c>
      <c r="E32" s="178"/>
      <c r="F32" s="80">
        <v>389.12</v>
      </c>
      <c r="G32" s="81">
        <f t="shared" si="1"/>
        <v>-4.7465178331007829E-2</v>
      </c>
      <c r="H32" s="178"/>
      <c r="I32" s="80">
        <v>990.65</v>
      </c>
      <c r="J32" s="81">
        <f t="shared" si="2"/>
        <v>-0.15193514420484033</v>
      </c>
      <c r="K32" s="71"/>
      <c r="L32" s="80">
        <v>17303.95</v>
      </c>
      <c r="M32" s="81">
        <f t="shared" si="3"/>
        <v>-2.0280656658447582E-2</v>
      </c>
    </row>
    <row r="33" spans="2:13" x14ac:dyDescent="0.3">
      <c r="B33" s="179">
        <v>44986</v>
      </c>
      <c r="C33" s="80">
        <v>475.57</v>
      </c>
      <c r="D33" s="81">
        <f t="shared" si="0"/>
        <v>2.064940264228099E-3</v>
      </c>
      <c r="E33" s="178"/>
      <c r="F33" s="80">
        <v>372.47</v>
      </c>
      <c r="G33" s="81">
        <f t="shared" si="1"/>
        <v>-4.278885690789469E-2</v>
      </c>
      <c r="H33" s="178"/>
      <c r="I33" s="80">
        <v>1000.62</v>
      </c>
      <c r="J33" s="81">
        <f t="shared" si="2"/>
        <v>1.0064099328723541E-2</v>
      </c>
      <c r="K33" s="71"/>
      <c r="L33" s="80">
        <v>17359.75</v>
      </c>
      <c r="M33" s="81">
        <f t="shared" si="3"/>
        <v>3.2246972512055549E-3</v>
      </c>
    </row>
    <row r="34" spans="2:13" x14ac:dyDescent="0.3">
      <c r="B34" s="179">
        <v>45017</v>
      </c>
      <c r="C34" s="80">
        <v>498.72</v>
      </c>
      <c r="D34" s="81">
        <f t="shared" si="0"/>
        <v>4.8678427991673212E-2</v>
      </c>
      <c r="E34" s="178"/>
      <c r="F34" s="80">
        <v>366.59</v>
      </c>
      <c r="G34" s="81">
        <f t="shared" si="1"/>
        <v>-1.5786506295809244E-2</v>
      </c>
      <c r="H34" s="178"/>
      <c r="I34" s="80">
        <v>1144.71</v>
      </c>
      <c r="J34" s="81">
        <f t="shared" si="2"/>
        <v>0.14400071955387661</v>
      </c>
      <c r="K34" s="71"/>
      <c r="L34" s="80">
        <v>18065</v>
      </c>
      <c r="M34" s="81">
        <f t="shared" si="3"/>
        <v>4.0625585045867663E-2</v>
      </c>
    </row>
    <row r="35" spans="2:13" x14ac:dyDescent="0.3">
      <c r="B35" s="179">
        <v>45047</v>
      </c>
      <c r="C35" s="80">
        <v>532.75</v>
      </c>
      <c r="D35" s="81">
        <f t="shared" si="0"/>
        <v>6.8234680782803814E-2</v>
      </c>
      <c r="E35" s="178"/>
      <c r="F35" s="80">
        <v>425.45</v>
      </c>
      <c r="G35" s="81">
        <f t="shared" si="1"/>
        <v>0.16056084454022201</v>
      </c>
      <c r="H35" s="178"/>
      <c r="I35" s="80">
        <v>1445.09</v>
      </c>
      <c r="J35" s="81">
        <f t="shared" si="2"/>
        <v>0.26240707253365469</v>
      </c>
      <c r="K35" s="71"/>
      <c r="L35" s="80">
        <v>18534.400000000001</v>
      </c>
      <c r="M35" s="81">
        <f t="shared" si="3"/>
        <v>2.5983946858566309E-2</v>
      </c>
    </row>
    <row r="36" spans="2:13" x14ac:dyDescent="0.3">
      <c r="B36" s="179">
        <v>45078</v>
      </c>
      <c r="C36" s="80">
        <v>554.34</v>
      </c>
      <c r="D36" s="81">
        <f t="shared" si="0"/>
        <v>4.0525574847489532E-2</v>
      </c>
      <c r="E36" s="178"/>
      <c r="F36" s="80">
        <v>437.73</v>
      </c>
      <c r="G36" s="81">
        <f t="shared" si="1"/>
        <v>2.886355623457515E-2</v>
      </c>
      <c r="H36" s="178"/>
      <c r="I36" s="80">
        <v>1417.95</v>
      </c>
      <c r="J36" s="81">
        <f t="shared" si="2"/>
        <v>-1.8780837179691146E-2</v>
      </c>
      <c r="K36" s="71"/>
      <c r="L36" s="80">
        <v>19189.05</v>
      </c>
      <c r="M36" s="81">
        <f t="shared" si="3"/>
        <v>3.5320808874309328E-2</v>
      </c>
    </row>
    <row r="37" spans="2:13" x14ac:dyDescent="0.3">
      <c r="B37" s="179">
        <v>45108</v>
      </c>
      <c r="C37" s="80">
        <v>557.94000000000005</v>
      </c>
      <c r="D37" s="81">
        <f t="shared" si="0"/>
        <v>6.4942093300142112E-3</v>
      </c>
      <c r="E37" s="178"/>
      <c r="F37" s="80">
        <v>318.5</v>
      </c>
      <c r="G37" s="81">
        <f t="shared" si="1"/>
        <v>-0.2723825189043475</v>
      </c>
      <c r="H37" s="178"/>
      <c r="I37" s="80">
        <v>1580.15</v>
      </c>
      <c r="J37" s="81">
        <f t="shared" si="2"/>
        <v>0.11439049331781792</v>
      </c>
      <c r="K37" s="71"/>
      <c r="L37" s="80">
        <v>19753.8</v>
      </c>
      <c r="M37" s="81">
        <f t="shared" si="3"/>
        <v>2.9430847280089489E-2</v>
      </c>
    </row>
    <row r="38" spans="2:13" x14ac:dyDescent="0.3">
      <c r="B38" s="179">
        <v>45139</v>
      </c>
      <c r="C38" s="80">
        <v>587.71</v>
      </c>
      <c r="D38" s="81">
        <f t="shared" si="0"/>
        <v>5.3356991791231989E-2</v>
      </c>
      <c r="E38" s="178"/>
      <c r="F38" s="80">
        <v>323.16000000000003</v>
      </c>
      <c r="G38" s="81">
        <f t="shared" si="1"/>
        <v>1.463108320251183E-2</v>
      </c>
      <c r="H38" s="178"/>
      <c r="I38" s="80">
        <v>1561.83</v>
      </c>
      <c r="J38" s="81">
        <f t="shared" si="2"/>
        <v>-1.1593836028225279E-2</v>
      </c>
      <c r="K38" s="71"/>
      <c r="L38" s="80">
        <v>19253.8</v>
      </c>
      <c r="M38" s="81">
        <f t="shared" si="3"/>
        <v>-2.5311585618969512E-2</v>
      </c>
    </row>
    <row r="39" spans="2:13" x14ac:dyDescent="0.3">
      <c r="B39" s="179">
        <v>45170</v>
      </c>
      <c r="C39" s="80">
        <v>561.5</v>
      </c>
      <c r="D39" s="81">
        <f t="shared" si="0"/>
        <v>-4.4596824964693527E-2</v>
      </c>
      <c r="E39" s="178"/>
      <c r="F39" s="80">
        <v>308.39999999999998</v>
      </c>
      <c r="G39" s="81">
        <f t="shared" si="1"/>
        <v>-4.5673969550687143E-2</v>
      </c>
      <c r="H39" s="178"/>
      <c r="I39" s="80">
        <v>1477.78</v>
      </c>
      <c r="J39" s="81">
        <f t="shared" si="2"/>
        <v>-5.3815075904547816E-2</v>
      </c>
      <c r="K39" s="71"/>
      <c r="L39" s="80">
        <v>19638.3</v>
      </c>
      <c r="M39" s="81">
        <f t="shared" si="3"/>
        <v>1.9970083827608009E-2</v>
      </c>
    </row>
    <row r="40" spans="2:13" x14ac:dyDescent="0.3">
      <c r="B40" s="179">
        <v>45200</v>
      </c>
      <c r="C40" s="80">
        <v>551.19000000000005</v>
      </c>
      <c r="D40" s="81">
        <f t="shared" si="0"/>
        <v>-1.8361531611754134E-2</v>
      </c>
      <c r="E40" s="178"/>
      <c r="F40" s="80">
        <v>306.17</v>
      </c>
      <c r="G40" s="81">
        <f t="shared" si="1"/>
        <v>-7.2308690012968801E-3</v>
      </c>
      <c r="H40" s="178"/>
      <c r="I40" s="80">
        <v>1392.45</v>
      </c>
      <c r="J40" s="81">
        <f t="shared" si="2"/>
        <v>-5.7742018433054931E-2</v>
      </c>
      <c r="K40" s="71"/>
      <c r="L40" s="80">
        <v>19079.599999999999</v>
      </c>
      <c r="M40" s="81">
        <f t="shared" si="3"/>
        <v>-2.844950937708457E-2</v>
      </c>
    </row>
    <row r="41" spans="2:13" x14ac:dyDescent="0.3">
      <c r="B41" s="179">
        <v>45231</v>
      </c>
      <c r="C41" s="80">
        <v>566.78</v>
      </c>
      <c r="D41" s="81">
        <f t="shared" si="0"/>
        <v>2.828425769698284E-2</v>
      </c>
      <c r="E41" s="178"/>
      <c r="F41" s="80">
        <v>310.58999999999997</v>
      </c>
      <c r="G41" s="81">
        <f t="shared" si="1"/>
        <v>1.4436424208772669E-2</v>
      </c>
      <c r="H41" s="178"/>
      <c r="I41" s="80">
        <v>1480.62</v>
      </c>
      <c r="J41" s="81">
        <f t="shared" si="2"/>
        <v>6.3320047398470303E-2</v>
      </c>
      <c r="K41" s="71"/>
      <c r="L41" s="80">
        <v>20133.150000000001</v>
      </c>
      <c r="M41" s="81">
        <f t="shared" si="3"/>
        <v>5.5218662865049728E-2</v>
      </c>
    </row>
    <row r="42" spans="2:13" x14ac:dyDescent="0.3">
      <c r="B42" s="179">
        <v>45261</v>
      </c>
      <c r="C42" s="80">
        <v>596.59</v>
      </c>
      <c r="D42" s="81">
        <f t="shared" si="0"/>
        <v>5.2595363280285135E-2</v>
      </c>
      <c r="E42" s="178"/>
      <c r="F42" s="80">
        <v>323.26</v>
      </c>
      <c r="G42" s="81">
        <f t="shared" si="1"/>
        <v>4.0793328825783348E-2</v>
      </c>
      <c r="H42" s="178"/>
      <c r="I42" s="80">
        <v>1482.46</v>
      </c>
      <c r="J42" s="81">
        <f t="shared" si="2"/>
        <v>1.2427226432172311E-3</v>
      </c>
      <c r="K42" s="71"/>
      <c r="L42" s="80">
        <v>21731.4</v>
      </c>
      <c r="M42" s="81">
        <f t="shared" si="3"/>
        <v>7.9384001013254268E-2</v>
      </c>
    </row>
    <row r="43" spans="2:13" x14ac:dyDescent="0.3">
      <c r="B43" s="179">
        <v>45292</v>
      </c>
      <c r="C43" s="80">
        <v>557.6</v>
      </c>
      <c r="D43" s="81">
        <f t="shared" ref="D43:D69" si="4">C43/C42-1</f>
        <v>-6.5354766254881902E-2</v>
      </c>
      <c r="E43" s="178"/>
      <c r="F43" s="80">
        <v>332.05</v>
      </c>
      <c r="G43" s="81">
        <f t="shared" ref="G43:G69" si="5">F43/F42-1</f>
        <v>2.7191734207758556E-2</v>
      </c>
      <c r="H43" s="178"/>
      <c r="I43" s="80">
        <v>1435.66</v>
      </c>
      <c r="J43" s="81">
        <f t="shared" ref="J43:J69" si="6">I43/I42-1</f>
        <v>-3.1569148577364592E-2</v>
      </c>
      <c r="K43" s="71"/>
      <c r="L43" s="80">
        <v>21725.7</v>
      </c>
      <c r="M43" s="81">
        <f t="shared" si="3"/>
        <v>-2.6229327148741266E-4</v>
      </c>
    </row>
    <row r="44" spans="2:13" x14ac:dyDescent="0.3">
      <c r="B44" s="179">
        <v>45323</v>
      </c>
      <c r="C44" s="80">
        <v>600.54</v>
      </c>
      <c r="D44" s="81">
        <f t="shared" si="4"/>
        <v>7.7008608321377237E-2</v>
      </c>
      <c r="E44" s="178"/>
      <c r="F44" s="80">
        <v>281.49</v>
      </c>
      <c r="G44" s="81">
        <f t="shared" si="5"/>
        <v>-0.15226622496611952</v>
      </c>
      <c r="H44" s="178"/>
      <c r="I44" s="80">
        <v>1391.3</v>
      </c>
      <c r="J44" s="81">
        <f t="shared" si="6"/>
        <v>-3.0898680746137774E-2</v>
      </c>
      <c r="K44" s="71"/>
      <c r="L44" s="80">
        <v>21982.799999999999</v>
      </c>
      <c r="M44" s="81">
        <f t="shared" si="3"/>
        <v>1.1833910990209695E-2</v>
      </c>
    </row>
    <row r="45" spans="2:13" x14ac:dyDescent="0.3">
      <c r="B45" s="179">
        <v>45352</v>
      </c>
      <c r="C45" s="80">
        <v>565.45000000000005</v>
      </c>
      <c r="D45" s="81">
        <f t="shared" si="4"/>
        <v>-5.843074566223716E-2</v>
      </c>
      <c r="E45" s="178"/>
      <c r="F45" s="80">
        <v>254.73</v>
      </c>
      <c r="G45" s="81">
        <f t="shared" si="5"/>
        <v>-9.5065544069061092E-2</v>
      </c>
      <c r="H45" s="178"/>
      <c r="I45" s="80">
        <v>1249.82</v>
      </c>
      <c r="J45" s="81">
        <f t="shared" si="6"/>
        <v>-0.10168906777833686</v>
      </c>
      <c r="K45" s="71"/>
      <c r="L45" s="80">
        <v>22326.9</v>
      </c>
      <c r="M45" s="81">
        <f t="shared" si="3"/>
        <v>1.5653147005840973E-2</v>
      </c>
    </row>
    <row r="46" spans="2:13" x14ac:dyDescent="0.3">
      <c r="B46" s="179">
        <v>45383</v>
      </c>
      <c r="C46" s="80">
        <v>502.28</v>
      </c>
      <c r="D46" s="81">
        <f t="shared" si="4"/>
        <v>-0.11171633212485643</v>
      </c>
      <c r="E46" s="178"/>
      <c r="F46" s="80">
        <v>271.77999999999997</v>
      </c>
      <c r="G46" s="81">
        <f t="shared" si="5"/>
        <v>6.6933615985553363E-2</v>
      </c>
      <c r="H46" s="178"/>
      <c r="I46" s="80">
        <v>1366.54</v>
      </c>
      <c r="J46" s="81">
        <f t="shared" si="6"/>
        <v>9.3389448080523518E-2</v>
      </c>
      <c r="K46" s="71"/>
      <c r="L46" s="80">
        <v>22604.85</v>
      </c>
      <c r="M46" s="81">
        <f t="shared" si="3"/>
        <v>1.2449108474530624E-2</v>
      </c>
    </row>
    <row r="47" spans="2:13" x14ac:dyDescent="0.3">
      <c r="B47" s="179">
        <v>45413</v>
      </c>
      <c r="C47" s="80">
        <v>453.57</v>
      </c>
      <c r="D47" s="81">
        <f t="shared" si="4"/>
        <v>-9.697778131719359E-2</v>
      </c>
      <c r="E47" s="178"/>
      <c r="F47" s="80">
        <v>261.68</v>
      </c>
      <c r="G47" s="81">
        <f t="shared" si="5"/>
        <v>-3.716241077341953E-2</v>
      </c>
      <c r="H47" s="178"/>
      <c r="I47" s="80">
        <v>1333.07</v>
      </c>
      <c r="J47" s="81">
        <f t="shared" si="6"/>
        <v>-2.4492513940316485E-2</v>
      </c>
      <c r="K47" s="71"/>
      <c r="L47" s="80">
        <v>22530.7</v>
      </c>
      <c r="M47" s="81">
        <f t="shared" si="3"/>
        <v>-3.2802694996869608E-3</v>
      </c>
    </row>
    <row r="48" spans="2:13" x14ac:dyDescent="0.3">
      <c r="B48" s="179">
        <v>45444</v>
      </c>
      <c r="C48" s="80">
        <v>497.94</v>
      </c>
      <c r="D48" s="81">
        <f t="shared" si="4"/>
        <v>9.7823930154110839E-2</v>
      </c>
      <c r="E48" s="178"/>
      <c r="F48" s="80">
        <v>262.31</v>
      </c>
      <c r="G48" s="81">
        <f t="shared" si="5"/>
        <v>2.4075206358911139E-3</v>
      </c>
      <c r="H48" s="178"/>
      <c r="I48" s="80">
        <v>1365.59</v>
      </c>
      <c r="J48" s="81">
        <f t="shared" si="6"/>
        <v>2.4394817976550298E-2</v>
      </c>
      <c r="K48" s="71"/>
      <c r="L48" s="80">
        <v>24010.6</v>
      </c>
      <c r="M48" s="81">
        <f t="shared" si="3"/>
        <v>6.5683711558007341E-2</v>
      </c>
    </row>
    <row r="49" spans="2:13" x14ac:dyDescent="0.3">
      <c r="B49" s="179">
        <v>45474</v>
      </c>
      <c r="C49" s="80">
        <v>547.73</v>
      </c>
      <c r="D49" s="81">
        <f t="shared" si="4"/>
        <v>9.9991966903643092E-2</v>
      </c>
      <c r="E49" s="178"/>
      <c r="F49" s="80">
        <v>302.20999999999998</v>
      </c>
      <c r="G49" s="81">
        <f t="shared" si="5"/>
        <v>0.15211009873813408</v>
      </c>
      <c r="H49" s="178"/>
      <c r="I49" s="80">
        <v>1490.86</v>
      </c>
      <c r="J49" s="81">
        <f t="shared" si="6"/>
        <v>9.1733243506469719E-2</v>
      </c>
      <c r="K49" s="71"/>
      <c r="L49" s="80">
        <v>24951.15</v>
      </c>
      <c r="M49" s="81">
        <f t="shared" si="3"/>
        <v>3.917228224200997E-2</v>
      </c>
    </row>
    <row r="50" spans="2:13" x14ac:dyDescent="0.3">
      <c r="B50" s="179">
        <v>45505</v>
      </c>
      <c r="C50" s="80">
        <v>563.23</v>
      </c>
      <c r="D50" s="81">
        <f t="shared" si="4"/>
        <v>2.829861428075886E-2</v>
      </c>
      <c r="E50" s="178"/>
      <c r="F50" s="80">
        <v>291.87</v>
      </c>
      <c r="G50" s="81">
        <f t="shared" si="5"/>
        <v>-3.4214618973561373E-2</v>
      </c>
      <c r="H50" s="178"/>
      <c r="I50" s="80">
        <v>1442.68</v>
      </c>
      <c r="J50" s="81">
        <f t="shared" si="6"/>
        <v>-3.2316917752169827E-2</v>
      </c>
      <c r="K50" s="71"/>
      <c r="L50" s="80">
        <v>25235.9</v>
      </c>
      <c r="M50" s="81">
        <f t="shared" si="3"/>
        <v>1.141229963348378E-2</v>
      </c>
    </row>
    <row r="51" spans="2:13" x14ac:dyDescent="0.3">
      <c r="B51" s="179">
        <v>45536</v>
      </c>
      <c r="C51" s="80">
        <v>617.79999999999995</v>
      </c>
      <c r="D51" s="81">
        <f t="shared" si="4"/>
        <v>9.6887594765903584E-2</v>
      </c>
      <c r="E51" s="178"/>
      <c r="F51" s="80">
        <v>305.20999999999998</v>
      </c>
      <c r="G51" s="81">
        <f t="shared" si="5"/>
        <v>4.5705279747832783E-2</v>
      </c>
      <c r="H51" s="178"/>
      <c r="I51" s="80">
        <v>1454.72</v>
      </c>
      <c r="J51" s="81">
        <f t="shared" si="6"/>
        <v>8.3455790611917102E-3</v>
      </c>
      <c r="K51" s="71"/>
      <c r="L51" s="80">
        <v>25810.85</v>
      </c>
      <c r="M51" s="81">
        <f t="shared" si="3"/>
        <v>2.2783019428670892E-2</v>
      </c>
    </row>
    <row r="52" spans="2:13" x14ac:dyDescent="0.3">
      <c r="B52" s="179">
        <v>45566</v>
      </c>
      <c r="C52" s="80">
        <v>533.37</v>
      </c>
      <c r="D52" s="81">
        <f t="shared" si="4"/>
        <v>-0.13666235027516993</v>
      </c>
      <c r="E52" s="178"/>
      <c r="F52" s="80">
        <v>280.60000000000002</v>
      </c>
      <c r="G52" s="81">
        <f t="shared" si="5"/>
        <v>-8.0633006782215411E-2</v>
      </c>
      <c r="H52" s="178"/>
      <c r="I52" s="80">
        <v>1640.34</v>
      </c>
      <c r="J52" s="81">
        <f t="shared" si="6"/>
        <v>0.12759843818741734</v>
      </c>
      <c r="K52" s="71"/>
      <c r="L52" s="80">
        <v>24205.35</v>
      </c>
      <c r="M52" s="81">
        <f t="shared" si="3"/>
        <v>-6.2202523357425266E-2</v>
      </c>
    </row>
    <row r="53" spans="2:13" x14ac:dyDescent="0.3">
      <c r="B53" s="179">
        <v>45597</v>
      </c>
      <c r="C53" s="80">
        <v>490.56</v>
      </c>
      <c r="D53" s="81">
        <f t="shared" si="4"/>
        <v>-8.0263231902806709E-2</v>
      </c>
      <c r="E53" s="178"/>
      <c r="F53" s="80">
        <v>276.37</v>
      </c>
      <c r="G53" s="81">
        <f t="shared" si="5"/>
        <v>-1.5074839629365733E-2</v>
      </c>
      <c r="H53" s="178"/>
      <c r="I53" s="80">
        <v>1429.15</v>
      </c>
      <c r="J53" s="81">
        <f t="shared" si="6"/>
        <v>-0.12874769864784119</v>
      </c>
      <c r="K53" s="71"/>
      <c r="L53" s="80">
        <v>24131.1</v>
      </c>
      <c r="M53" s="81">
        <f t="shared" si="3"/>
        <v>-3.0675036717089377E-3</v>
      </c>
    </row>
    <row r="54" spans="2:13" x14ac:dyDescent="0.3">
      <c r="B54" s="179">
        <v>45627</v>
      </c>
      <c r="C54" s="80">
        <v>445.51</v>
      </c>
      <c r="D54" s="81">
        <f t="shared" si="4"/>
        <v>-9.1833822570123957E-2</v>
      </c>
      <c r="E54" s="178"/>
      <c r="F54" s="80">
        <v>260.91000000000003</v>
      </c>
      <c r="G54" s="81">
        <f t="shared" si="5"/>
        <v>-5.5939501393059921E-2</v>
      </c>
      <c r="H54" s="178"/>
      <c r="I54" s="80">
        <v>1397.74</v>
      </c>
      <c r="J54" s="81">
        <f t="shared" si="6"/>
        <v>-2.1978098869957718E-2</v>
      </c>
      <c r="K54" s="71"/>
      <c r="L54" s="80">
        <v>23644.799999999999</v>
      </c>
      <c r="M54" s="81">
        <f t="shared" si="3"/>
        <v>-2.0152417419844082E-2</v>
      </c>
    </row>
    <row r="55" spans="2:13" x14ac:dyDescent="0.3">
      <c r="B55" s="179">
        <v>45658</v>
      </c>
      <c r="C55" s="80">
        <v>469.2</v>
      </c>
      <c r="D55" s="81">
        <f t="shared" si="4"/>
        <v>5.3175012906556463E-2</v>
      </c>
      <c r="E55" s="178"/>
      <c r="F55" s="80">
        <v>229.46</v>
      </c>
      <c r="G55" s="81">
        <f t="shared" si="5"/>
        <v>-0.12053964968763176</v>
      </c>
      <c r="H55" s="178"/>
      <c r="I55" s="80">
        <v>1263.31</v>
      </c>
      <c r="J55" s="81">
        <f t="shared" si="6"/>
        <v>-9.6176685220427327E-2</v>
      </c>
      <c r="K55" s="71"/>
      <c r="L55" s="80">
        <v>23508.400000000001</v>
      </c>
      <c r="M55" s="81">
        <f t="shared" si="3"/>
        <v>-5.7687102449586192E-3</v>
      </c>
    </row>
    <row r="56" spans="2:13" x14ac:dyDescent="0.3">
      <c r="B56" s="179">
        <v>45689</v>
      </c>
      <c r="C56" s="80">
        <v>485.14</v>
      </c>
      <c r="D56" s="81">
        <f t="shared" si="4"/>
        <v>3.3972719522591621E-2</v>
      </c>
      <c r="E56" s="178"/>
      <c r="F56" s="80">
        <v>223.11</v>
      </c>
      <c r="G56" s="81">
        <f t="shared" si="5"/>
        <v>-2.7673668613265923E-2</v>
      </c>
      <c r="H56" s="178"/>
      <c r="I56" s="80">
        <v>1016.72</v>
      </c>
      <c r="J56" s="81">
        <f t="shared" si="6"/>
        <v>-0.19519357877322263</v>
      </c>
      <c r="K56" s="71"/>
      <c r="L56" s="80">
        <v>22124.7</v>
      </c>
      <c r="M56" s="81">
        <f t="shared" si="3"/>
        <v>-5.8859811811948104E-2</v>
      </c>
    </row>
    <row r="57" spans="2:13" x14ac:dyDescent="0.3">
      <c r="B57" s="179">
        <v>45717</v>
      </c>
      <c r="C57" s="80">
        <v>496.47</v>
      </c>
      <c r="D57" s="81">
        <f t="shared" si="4"/>
        <v>2.3354083357381539E-2</v>
      </c>
      <c r="E57" s="178"/>
      <c r="F57" s="80">
        <v>228.97</v>
      </c>
      <c r="G57" s="81">
        <f t="shared" si="5"/>
        <v>2.6265071041190469E-2</v>
      </c>
      <c r="H57" s="178"/>
      <c r="I57" s="80">
        <v>939.8</v>
      </c>
      <c r="J57" s="81">
        <f t="shared" si="6"/>
        <v>-7.5655047604060166E-2</v>
      </c>
      <c r="K57" s="71"/>
      <c r="L57" s="80">
        <v>23519.35</v>
      </c>
      <c r="M57" s="81">
        <f t="shared" si="3"/>
        <v>6.3035882972424462E-2</v>
      </c>
    </row>
    <row r="58" spans="2:13" x14ac:dyDescent="0.3">
      <c r="B58" s="179">
        <v>45748</v>
      </c>
      <c r="C58" s="80">
        <v>540.77</v>
      </c>
      <c r="D58" s="81">
        <f t="shared" si="4"/>
        <v>8.9229963542610813E-2</v>
      </c>
      <c r="E58" s="178"/>
      <c r="F58" s="80">
        <v>252.89</v>
      </c>
      <c r="G58" s="81">
        <f t="shared" si="5"/>
        <v>0.10446783421408923</v>
      </c>
      <c r="H58" s="178"/>
      <c r="I58" s="80">
        <v>971.75</v>
      </c>
      <c r="J58" s="81">
        <f t="shared" si="6"/>
        <v>3.3996595020217013E-2</v>
      </c>
      <c r="K58" s="71"/>
      <c r="L58" s="80">
        <v>24334.2</v>
      </c>
      <c r="M58" s="81">
        <f t="shared" si="3"/>
        <v>3.4645940470293679E-2</v>
      </c>
    </row>
    <row r="59" spans="2:13" x14ac:dyDescent="0.3">
      <c r="B59" s="179">
        <v>45778</v>
      </c>
      <c r="C59" s="80">
        <v>564.66</v>
      </c>
      <c r="D59" s="81">
        <f t="shared" si="4"/>
        <v>4.4177746546590901E-2</v>
      </c>
      <c r="E59" s="178"/>
      <c r="F59" s="80">
        <v>249.59</v>
      </c>
      <c r="G59" s="81">
        <f t="shared" si="5"/>
        <v>-1.3049151805132553E-2</v>
      </c>
      <c r="H59" s="178"/>
      <c r="I59" s="80">
        <v>1076.1300000000001</v>
      </c>
      <c r="J59" s="81">
        <f t="shared" si="6"/>
        <v>0.10741445845124775</v>
      </c>
      <c r="K59" s="71"/>
      <c r="L59" s="80">
        <v>24750.7</v>
      </c>
      <c r="M59" s="81">
        <f t="shared" si="3"/>
        <v>1.7115828751304685E-2</v>
      </c>
    </row>
    <row r="60" spans="2:13" x14ac:dyDescent="0.3">
      <c r="B60" s="179">
        <v>45809</v>
      </c>
      <c r="C60" s="80">
        <v>589.09</v>
      </c>
      <c r="D60" s="81">
        <f t="shared" si="4"/>
        <v>4.3264973612439528E-2</v>
      </c>
      <c r="E60" s="178"/>
      <c r="F60" s="80">
        <v>248.21</v>
      </c>
      <c r="G60" s="81">
        <f t="shared" si="5"/>
        <v>-5.529067670980381E-3</v>
      </c>
      <c r="H60" s="178"/>
      <c r="I60" s="80">
        <v>1158.6300000000001</v>
      </c>
      <c r="J60" s="81">
        <f t="shared" si="6"/>
        <v>7.6663600122661713E-2</v>
      </c>
      <c r="K60" s="71"/>
      <c r="L60" s="80">
        <v>25517.05</v>
      </c>
      <c r="M60" s="81">
        <f t="shared" si="3"/>
        <v>3.0962760649193788E-2</v>
      </c>
    </row>
    <row r="61" spans="2:13" x14ac:dyDescent="0.3">
      <c r="B61" s="179">
        <v>45839</v>
      </c>
      <c r="C61" s="80">
        <v>560.54</v>
      </c>
      <c r="D61" s="81">
        <f t="shared" si="4"/>
        <v>-4.8464580963859638E-2</v>
      </c>
      <c r="E61" s="178"/>
      <c r="F61" s="80">
        <v>244.45</v>
      </c>
      <c r="G61" s="81">
        <f t="shared" si="5"/>
        <v>-1.5148462995044576E-2</v>
      </c>
      <c r="H61" s="178"/>
      <c r="I61" s="80">
        <v>1196.31</v>
      </c>
      <c r="J61" s="81">
        <f t="shared" si="6"/>
        <v>3.2521167240620263E-2</v>
      </c>
      <c r="K61" s="71"/>
      <c r="L61" s="80">
        <v>24768.35</v>
      </c>
      <c r="M61" s="81">
        <f t="shared" si="3"/>
        <v>-2.9341166004691055E-2</v>
      </c>
    </row>
    <row r="62" spans="2:13" x14ac:dyDescent="0.3">
      <c r="B62" s="179">
        <v>45870</v>
      </c>
      <c r="C62" s="80">
        <v>528.95000000000005</v>
      </c>
      <c r="D62" s="81">
        <f t="shared" si="4"/>
        <v>-5.6356370642594467E-2</v>
      </c>
      <c r="E62" s="178"/>
      <c r="F62" s="80">
        <v>239.85</v>
      </c>
      <c r="G62" s="81">
        <f t="shared" si="5"/>
        <v>-1.8817754141951304E-2</v>
      </c>
      <c r="H62" s="178"/>
      <c r="I62" s="80">
        <v>1096.32</v>
      </c>
      <c r="J62" s="81">
        <f t="shared" si="6"/>
        <v>-8.3582014695187667E-2</v>
      </c>
      <c r="K62" s="71"/>
      <c r="L62" s="80">
        <v>24426.85</v>
      </c>
      <c r="M62" s="81">
        <f t="shared" si="3"/>
        <v>-1.3787757359694952E-2</v>
      </c>
    </row>
    <row r="63" spans="2:13" x14ac:dyDescent="0.3">
      <c r="B63" s="179">
        <v>45901</v>
      </c>
      <c r="C63" s="80">
        <v>514.79999999999995</v>
      </c>
      <c r="D63" s="81">
        <f t="shared" si="4"/>
        <v>-2.6751110690991786E-2</v>
      </c>
      <c r="E63" s="178"/>
      <c r="F63" s="80">
        <v>247.3</v>
      </c>
      <c r="G63" s="81">
        <f t="shared" si="5"/>
        <v>3.1061079841567807E-2</v>
      </c>
      <c r="H63" s="178"/>
      <c r="I63" s="80">
        <v>1052.2</v>
      </c>
      <c r="J63" s="81">
        <f t="shared" si="6"/>
        <v>-4.0243724460011565E-2</v>
      </c>
      <c r="K63" s="71"/>
      <c r="L63" s="80">
        <v>24611.1</v>
      </c>
      <c r="M63" s="81">
        <f t="shared" si="3"/>
        <v>7.5429291947182175E-3</v>
      </c>
    </row>
    <row r="64" spans="2:13" x14ac:dyDescent="0.3">
      <c r="B64" s="179">
        <v>45931</v>
      </c>
      <c r="C64" s="80">
        <v>544.04999999999995</v>
      </c>
      <c r="D64" s="81">
        <f t="shared" si="4"/>
        <v>5.6818181818181879E-2</v>
      </c>
      <c r="E64" s="178"/>
      <c r="F64" s="80">
        <v>248.15</v>
      </c>
      <c r="G64" s="81">
        <f t="shared" si="5"/>
        <v>3.4371209057824093E-3</v>
      </c>
      <c r="H64" s="178"/>
      <c r="I64" s="80">
        <v>999.9</v>
      </c>
      <c r="J64" s="81">
        <f t="shared" si="6"/>
        <v>-4.9705379205474354E-2</v>
      </c>
      <c r="K64" s="71"/>
      <c r="L64" s="80">
        <v>25722.1</v>
      </c>
      <c r="M64" s="81">
        <f t="shared" si="3"/>
        <v>4.5142232569856722E-2</v>
      </c>
    </row>
    <row r="65" spans="1:13" x14ac:dyDescent="0.3">
      <c r="B65" s="179">
        <v>45962</v>
      </c>
      <c r="C65" s="80">
        <v>565.85</v>
      </c>
      <c r="D65" s="81">
        <f t="shared" si="4"/>
        <v>4.0069846521459507E-2</v>
      </c>
      <c r="E65" s="178"/>
      <c r="F65" s="80">
        <v>236.2</v>
      </c>
      <c r="G65" s="81">
        <f t="shared" si="5"/>
        <v>-4.8156357042111742E-2</v>
      </c>
      <c r="H65" s="178"/>
      <c r="I65" s="80">
        <v>1283.6500000000001</v>
      </c>
      <c r="J65" s="81">
        <f t="shared" si="6"/>
        <v>0.28377837783778381</v>
      </c>
      <c r="K65" s="71"/>
      <c r="L65" s="80">
        <v>26202.95</v>
      </c>
      <c r="M65" s="81">
        <f t="shared" si="3"/>
        <v>1.8694041310779452E-2</v>
      </c>
    </row>
    <row r="66" spans="1:13" x14ac:dyDescent="0.3">
      <c r="B66" s="179">
        <v>45992</v>
      </c>
      <c r="C66" s="80">
        <v>537.9</v>
      </c>
      <c r="D66" s="81">
        <f t="shared" si="4"/>
        <v>-4.9394715914111598E-2</v>
      </c>
      <c r="E66" s="178"/>
      <c r="F66" s="80">
        <v>235.5</v>
      </c>
      <c r="G66" s="81">
        <f t="shared" si="5"/>
        <v>-2.963590177815334E-3</v>
      </c>
      <c r="H66" s="178"/>
      <c r="I66" s="80">
        <v>1143.8</v>
      </c>
      <c r="J66" s="81">
        <f t="shared" si="6"/>
        <v>-0.10894714291278784</v>
      </c>
      <c r="K66" s="71"/>
      <c r="L66" s="80">
        <v>26129.599999999999</v>
      </c>
      <c r="M66" s="81">
        <f t="shared" si="3"/>
        <v>-2.7993031318993555E-3</v>
      </c>
    </row>
    <row r="67" spans="1:13" x14ac:dyDescent="0.3">
      <c r="B67" s="179">
        <v>46023</v>
      </c>
      <c r="C67" s="80">
        <v>463</v>
      </c>
      <c r="D67" s="81">
        <f t="shared" si="4"/>
        <v>-0.1392452128648447</v>
      </c>
      <c r="E67" s="178"/>
      <c r="F67" s="80">
        <v>229.95</v>
      </c>
      <c r="G67" s="81">
        <f t="shared" si="5"/>
        <v>-2.3566878980891715E-2</v>
      </c>
      <c r="H67" s="178"/>
      <c r="I67" s="80">
        <v>1044.4000000000001</v>
      </c>
      <c r="J67" s="81">
        <f t="shared" si="6"/>
        <v>-8.6903304773561674E-2</v>
      </c>
      <c r="K67" s="71"/>
      <c r="L67" s="80">
        <v>25320.65</v>
      </c>
      <c r="M67" s="81">
        <f t="shared" si="3"/>
        <v>-3.0959142122343852E-2</v>
      </c>
    </row>
    <row r="68" spans="1:13" x14ac:dyDescent="0.3">
      <c r="B68" s="179">
        <v>46054</v>
      </c>
      <c r="C68" s="80">
        <v>480.1</v>
      </c>
      <c r="D68" s="81">
        <f t="shared" si="4"/>
        <v>3.693304535637143E-2</v>
      </c>
      <c r="E68" s="178"/>
      <c r="F68" s="80">
        <v>222.2</v>
      </c>
      <c r="G68" s="81">
        <f t="shared" si="5"/>
        <v>-3.3702978908458414E-2</v>
      </c>
      <c r="H68" s="178"/>
      <c r="I68" s="80">
        <v>936.8</v>
      </c>
      <c r="J68" s="81">
        <f t="shared" si="6"/>
        <v>-0.1030256606664115</v>
      </c>
      <c r="K68" s="71"/>
      <c r="L68" s="80">
        <v>25178.65</v>
      </c>
      <c r="M68" s="81">
        <f t="shared" si="3"/>
        <v>-5.6080708828565307E-3</v>
      </c>
    </row>
    <row r="69" spans="1:13" x14ac:dyDescent="0.3">
      <c r="B69" s="179">
        <v>46108</v>
      </c>
      <c r="C69" s="80">
        <v>414.95</v>
      </c>
      <c r="D69" s="81">
        <f t="shared" si="4"/>
        <v>-0.13570089564674037</v>
      </c>
      <c r="E69" s="178"/>
      <c r="F69" s="80">
        <v>170.05</v>
      </c>
      <c r="G69" s="81">
        <f t="shared" si="5"/>
        <v>-0.23469846984698461</v>
      </c>
      <c r="H69" s="178"/>
      <c r="I69" s="80">
        <v>730.8</v>
      </c>
      <c r="J69" s="81">
        <f t="shared" si="6"/>
        <v>-0.21989752348420155</v>
      </c>
      <c r="K69" s="71"/>
      <c r="L69" s="80">
        <v>23114.5</v>
      </c>
      <c r="M69" s="81">
        <f t="shared" si="3"/>
        <v>-8.1980169707271844E-2</v>
      </c>
    </row>
    <row r="70" spans="1:13" x14ac:dyDescent="0.3">
      <c r="D70" s="81"/>
      <c r="E70" s="71"/>
      <c r="F70" s="80"/>
      <c r="G70" s="81"/>
      <c r="H70" s="71"/>
      <c r="J70" s="81"/>
      <c r="K70" s="71"/>
      <c r="L70" s="76"/>
      <c r="M70" s="81"/>
    </row>
    <row r="71" spans="1:13" x14ac:dyDescent="0.3">
      <c r="B71" s="79"/>
      <c r="C71" s="76"/>
      <c r="D71" s="81"/>
      <c r="E71" s="71"/>
      <c r="F71" s="80"/>
      <c r="G71" s="81"/>
      <c r="H71" s="71"/>
      <c r="K71" s="71"/>
      <c r="L71" s="76"/>
      <c r="M71" s="81"/>
    </row>
    <row r="72" spans="1:13" x14ac:dyDescent="0.3">
      <c r="B72" s="185" t="s">
        <v>343</v>
      </c>
      <c r="C72" s="186">
        <f>SLOPE(D11:D69,M11:M69)</f>
        <v>1.1107726119811296</v>
      </c>
      <c r="D72" s="187"/>
      <c r="E72" s="188"/>
      <c r="F72" s="189" t="s">
        <v>343</v>
      </c>
      <c r="G72" s="190">
        <f>SLOPE(G11:G69,M11:M69)</f>
        <v>0.92242955435486906</v>
      </c>
      <c r="H72" s="188"/>
      <c r="I72" s="189" t="s">
        <v>343</v>
      </c>
      <c r="J72" s="190">
        <f>SLOPE(J11:J69,M11:M69)</f>
        <v>1.051396674423547</v>
      </c>
      <c r="K72" s="71"/>
      <c r="L72" s="76"/>
      <c r="M72" s="81"/>
    </row>
    <row r="73" spans="1:13" x14ac:dyDescent="0.3">
      <c r="B73" s="185" t="s">
        <v>344</v>
      </c>
      <c r="C73" s="186">
        <f>_xlfn.COVARIANCE.S(D11:D69,M11:M69)/_xlfn.VAR.S(M11:M69)</f>
        <v>1.1107726119811301</v>
      </c>
      <c r="D73" s="187"/>
      <c r="E73" s="188"/>
      <c r="F73" s="189" t="s">
        <v>344</v>
      </c>
      <c r="G73" s="190">
        <f>_xlfn.COVARIANCE.S(G11:G69,M11:M69)/_xlfn.VAR.S(M11:M69)</f>
        <v>0.92242955435486951</v>
      </c>
      <c r="H73" s="188"/>
      <c r="I73" s="189" t="s">
        <v>344</v>
      </c>
      <c r="J73" s="190">
        <f>_xlfn.COVARIANCE.S(J11:J69,M11:M69)/_xlfn.VAR.S(M11:M69)</f>
        <v>1.0513966744235475</v>
      </c>
      <c r="K73" s="71"/>
      <c r="L73" s="76"/>
      <c r="M73" s="81"/>
    </row>
    <row r="74" spans="1:13" x14ac:dyDescent="0.3">
      <c r="B74" s="185" t="s">
        <v>345</v>
      </c>
      <c r="C74" s="186">
        <f>C95</f>
        <v>1.1107726119811296</v>
      </c>
      <c r="D74" s="187"/>
      <c r="E74" s="188"/>
      <c r="F74" s="189" t="s">
        <v>345</v>
      </c>
      <c r="G74" s="190">
        <f>C117</f>
        <v>0.92242955435486862</v>
      </c>
      <c r="H74" s="188"/>
      <c r="I74" s="189" t="s">
        <v>345</v>
      </c>
      <c r="J74" s="186">
        <f>C161</f>
        <v>1.051396674423547</v>
      </c>
      <c r="K74" s="71"/>
      <c r="L74" s="76"/>
      <c r="M74" s="81"/>
    </row>
    <row r="75" spans="1:13" x14ac:dyDescent="0.3">
      <c r="B75" s="184"/>
      <c r="C75" s="76"/>
      <c r="D75" s="81"/>
      <c r="E75" s="71"/>
      <c r="F75" s="80"/>
      <c r="G75" s="81"/>
      <c r="H75" s="71"/>
      <c r="I75" s="76"/>
      <c r="J75" s="81"/>
      <c r="K75" s="71"/>
      <c r="L75" s="76"/>
      <c r="M75" s="81"/>
    </row>
    <row r="76" spans="1:13" x14ac:dyDescent="0.3">
      <c r="B76" s="79"/>
      <c r="C76" s="76"/>
      <c r="D76" s="81"/>
      <c r="E76" s="71"/>
      <c r="F76" s="80"/>
      <c r="G76" s="81"/>
      <c r="H76" s="71"/>
      <c r="I76" s="76"/>
      <c r="J76" s="81"/>
      <c r="K76" s="71"/>
      <c r="L76" s="76"/>
      <c r="M76" s="81"/>
    </row>
    <row r="77" spans="1:13" x14ac:dyDescent="0.3">
      <c r="A77" s="239" t="s">
        <v>339</v>
      </c>
      <c r="B77" s="239"/>
      <c r="C77" s="239"/>
      <c r="D77" s="81"/>
      <c r="E77" s="71"/>
      <c r="F77" s="80"/>
      <c r="G77" s="81"/>
      <c r="H77" s="71"/>
      <c r="I77" s="76"/>
      <c r="J77" s="81"/>
      <c r="K77" s="71"/>
      <c r="L77" s="76"/>
      <c r="M77" s="81"/>
    </row>
    <row r="78" spans="1:13" x14ac:dyDescent="0.3">
      <c r="B78" t="s">
        <v>169</v>
      </c>
      <c r="I78" s="76"/>
      <c r="J78" s="81"/>
      <c r="K78" s="71"/>
      <c r="L78" s="76"/>
      <c r="M78" s="81"/>
    </row>
    <row r="79" spans="1:13" ht="15" thickBot="1" x14ac:dyDescent="0.35">
      <c r="I79" s="76"/>
      <c r="J79" s="81"/>
      <c r="K79" s="71"/>
      <c r="L79" s="76"/>
      <c r="M79" s="81"/>
    </row>
    <row r="80" spans="1:13" x14ac:dyDescent="0.3">
      <c r="B80" s="183" t="s">
        <v>170</v>
      </c>
      <c r="C80" s="183"/>
      <c r="I80" s="76"/>
      <c r="J80" s="81"/>
      <c r="K80" s="71"/>
      <c r="L80" s="76"/>
      <c r="M80" s="81"/>
    </row>
    <row r="81" spans="2:13" x14ac:dyDescent="0.3">
      <c r="B81" t="s">
        <v>171</v>
      </c>
      <c r="C81">
        <v>0.59061232648866957</v>
      </c>
      <c r="I81" s="76"/>
      <c r="J81" s="81"/>
      <c r="K81" s="71"/>
      <c r="L81" s="76"/>
      <c r="M81" s="81"/>
    </row>
    <row r="82" spans="2:13" x14ac:dyDescent="0.3">
      <c r="B82" t="s">
        <v>172</v>
      </c>
      <c r="C82">
        <v>0.34882292020035888</v>
      </c>
      <c r="I82" s="76"/>
      <c r="J82" s="81"/>
      <c r="K82" s="71"/>
      <c r="L82" s="76"/>
      <c r="M82" s="81"/>
    </row>
    <row r="83" spans="2:13" x14ac:dyDescent="0.3">
      <c r="B83" t="s">
        <v>173</v>
      </c>
      <c r="C83">
        <v>0.33739876090562837</v>
      </c>
      <c r="I83" s="76"/>
      <c r="J83" s="81"/>
      <c r="K83" s="71"/>
      <c r="L83" s="76"/>
      <c r="M83" s="81"/>
    </row>
    <row r="84" spans="2:13" x14ac:dyDescent="0.3">
      <c r="B84" t="s">
        <v>174</v>
      </c>
      <c r="C84">
        <v>5.7534622673023984E-2</v>
      </c>
      <c r="I84" s="76"/>
      <c r="J84" s="81"/>
      <c r="K84" s="71"/>
      <c r="L84" s="76"/>
      <c r="M84" s="81"/>
    </row>
    <row r="85" spans="2:13" ht="15" thickBot="1" x14ac:dyDescent="0.35">
      <c r="B85" s="181" t="s">
        <v>175</v>
      </c>
      <c r="C85" s="181">
        <v>59</v>
      </c>
      <c r="I85" s="76"/>
      <c r="J85" s="81"/>
      <c r="K85" s="71"/>
      <c r="L85" s="76"/>
      <c r="M85" s="81"/>
    </row>
    <row r="86" spans="2:13" x14ac:dyDescent="0.3">
      <c r="I86" s="76"/>
      <c r="J86" s="81"/>
      <c r="K86" s="71"/>
      <c r="L86" s="76"/>
      <c r="M86" s="81"/>
    </row>
    <row r="87" spans="2:13" ht="15" thickBot="1" x14ac:dyDescent="0.35">
      <c r="B87" t="s">
        <v>176</v>
      </c>
      <c r="I87" s="76"/>
      <c r="J87" s="81"/>
      <c r="K87" s="71"/>
      <c r="L87" s="76"/>
      <c r="M87" s="81"/>
    </row>
    <row r="88" spans="2:13" x14ac:dyDescent="0.3">
      <c r="B88" s="182"/>
      <c r="C88" s="182" t="s">
        <v>177</v>
      </c>
      <c r="D88" s="182" t="s">
        <v>178</v>
      </c>
      <c r="E88" s="182" t="s">
        <v>179</v>
      </c>
      <c r="F88" s="182" t="s">
        <v>180</v>
      </c>
      <c r="G88" s="182" t="s">
        <v>181</v>
      </c>
      <c r="I88" s="76"/>
      <c r="J88" s="81"/>
      <c r="K88" s="71"/>
      <c r="L88" s="76"/>
      <c r="M88" s="81"/>
    </row>
    <row r="89" spans="2:13" x14ac:dyDescent="0.3">
      <c r="B89" t="s">
        <v>182</v>
      </c>
      <c r="C89">
        <v>1</v>
      </c>
      <c r="D89">
        <v>0.10107396476071012</v>
      </c>
      <c r="E89">
        <v>0.10107396476071012</v>
      </c>
      <c r="F89">
        <v>30.533793446074874</v>
      </c>
      <c r="G89">
        <v>8.4800053149179081E-7</v>
      </c>
      <c r="I89" s="76"/>
      <c r="J89" s="81"/>
      <c r="K89" s="71"/>
      <c r="L89" s="76"/>
      <c r="M89" s="81"/>
    </row>
    <row r="90" spans="2:13" x14ac:dyDescent="0.3">
      <c r="B90" t="s">
        <v>183</v>
      </c>
      <c r="C90">
        <v>57</v>
      </c>
      <c r="D90">
        <v>0.188683269949253</v>
      </c>
      <c r="E90">
        <v>3.3102328061272454E-3</v>
      </c>
      <c r="I90" s="76"/>
      <c r="J90" s="81"/>
      <c r="K90" s="71"/>
      <c r="L90" s="76"/>
      <c r="M90" s="81"/>
    </row>
    <row r="91" spans="2:13" ht="15" thickBot="1" x14ac:dyDescent="0.35">
      <c r="B91" s="181" t="s">
        <v>13</v>
      </c>
      <c r="C91" s="181">
        <v>58</v>
      </c>
      <c r="D91" s="181">
        <v>0.28975723470996312</v>
      </c>
      <c r="E91" s="181"/>
      <c r="F91" s="181"/>
      <c r="G91" s="181"/>
      <c r="I91" s="76"/>
      <c r="J91" s="81"/>
      <c r="K91" s="71"/>
      <c r="L91" s="76"/>
      <c r="M91" s="81"/>
    </row>
    <row r="92" spans="2:13" ht="15" thickBot="1" x14ac:dyDescent="0.35">
      <c r="I92" s="76"/>
      <c r="J92" s="81"/>
      <c r="K92" s="71"/>
      <c r="L92" s="76"/>
      <c r="M92" s="81"/>
    </row>
    <row r="93" spans="2:13" x14ac:dyDescent="0.3">
      <c r="B93" s="182"/>
      <c r="C93" s="182" t="s">
        <v>184</v>
      </c>
      <c r="D93" s="182" t="s">
        <v>174</v>
      </c>
      <c r="E93" s="182" t="s">
        <v>185</v>
      </c>
      <c r="F93" s="182" t="s">
        <v>186</v>
      </c>
      <c r="G93" s="182" t="s">
        <v>187</v>
      </c>
      <c r="H93" s="182" t="s">
        <v>188</v>
      </c>
      <c r="I93" s="76"/>
      <c r="J93" s="81"/>
      <c r="K93" s="71"/>
      <c r="L93" s="76"/>
      <c r="M93" s="81"/>
    </row>
    <row r="94" spans="2:13" x14ac:dyDescent="0.3">
      <c r="B94" t="s">
        <v>191</v>
      </c>
      <c r="C94">
        <v>-1.2277636773169931E-2</v>
      </c>
      <c r="D94">
        <v>7.6814662845089464E-3</v>
      </c>
      <c r="E94">
        <v>-1.59834546145571</v>
      </c>
      <c r="F94">
        <v>0.11549537837679263</v>
      </c>
      <c r="G94">
        <v>-2.765950768460752E-2</v>
      </c>
      <c r="H94">
        <v>3.1042341382676586E-3</v>
      </c>
      <c r="I94" s="76"/>
      <c r="J94" s="81"/>
      <c r="K94" s="71"/>
      <c r="L94" s="76"/>
      <c r="M94" s="81"/>
    </row>
    <row r="95" spans="2:13" ht="15" thickBot="1" x14ac:dyDescent="0.35">
      <c r="B95" s="181" t="s">
        <v>192</v>
      </c>
      <c r="C95" s="181">
        <v>1.1107726119811296</v>
      </c>
      <c r="D95" s="181">
        <v>0.20101792294441739</v>
      </c>
      <c r="E95" s="181">
        <v>5.5257391764428121</v>
      </c>
      <c r="F95" s="181">
        <v>8.4800053149178139E-7</v>
      </c>
      <c r="G95" s="181">
        <v>0.70824116458651276</v>
      </c>
      <c r="H95" s="181">
        <v>1.5133040593757465</v>
      </c>
      <c r="I95" s="76"/>
      <c r="J95" s="81"/>
      <c r="K95" s="71"/>
      <c r="L95" s="76"/>
      <c r="M95" s="81"/>
    </row>
    <row r="96" spans="2:13" x14ac:dyDescent="0.3">
      <c r="I96" s="76"/>
      <c r="J96" s="81"/>
      <c r="K96" s="71"/>
      <c r="L96" s="76"/>
      <c r="M96" s="81"/>
    </row>
    <row r="97" spans="2:13" x14ac:dyDescent="0.3">
      <c r="I97" s="76"/>
      <c r="J97" s="81"/>
      <c r="K97" s="71"/>
      <c r="L97" s="76"/>
      <c r="M97" s="81"/>
    </row>
    <row r="98" spans="2:13" x14ac:dyDescent="0.3">
      <c r="B98" s="240" t="s">
        <v>340</v>
      </c>
      <c r="C98" s="240"/>
      <c r="D98" s="240"/>
      <c r="I98" s="76"/>
      <c r="J98" s="81"/>
      <c r="K98" s="71"/>
      <c r="L98" s="76"/>
      <c r="M98" s="81"/>
    </row>
    <row r="99" spans="2:13" x14ac:dyDescent="0.3">
      <c r="B99" s="79"/>
      <c r="C99" s="76"/>
      <c r="D99" s="81"/>
      <c r="E99" s="71"/>
      <c r="F99" s="80"/>
      <c r="G99" s="81"/>
      <c r="H99" s="71"/>
      <c r="I99" s="76"/>
      <c r="J99" s="81"/>
      <c r="K99" s="71"/>
      <c r="L99" s="76"/>
      <c r="M99" s="81"/>
    </row>
    <row r="100" spans="2:13" x14ac:dyDescent="0.3">
      <c r="B100" t="s">
        <v>169</v>
      </c>
      <c r="I100" s="76"/>
      <c r="J100" s="81"/>
      <c r="K100" s="71"/>
      <c r="L100" s="76"/>
      <c r="M100" s="81"/>
    </row>
    <row r="101" spans="2:13" ht="15" thickBot="1" x14ac:dyDescent="0.35">
      <c r="I101" s="76"/>
      <c r="J101" s="81"/>
      <c r="K101" s="71"/>
      <c r="L101" s="76"/>
      <c r="M101" s="81"/>
    </row>
    <row r="102" spans="2:13" x14ac:dyDescent="0.3">
      <c r="B102" s="183" t="s">
        <v>170</v>
      </c>
      <c r="C102" s="183"/>
      <c r="I102" s="76"/>
      <c r="J102" s="81"/>
      <c r="K102" s="71"/>
      <c r="L102" s="76"/>
      <c r="M102" s="81"/>
    </row>
    <row r="103" spans="2:13" x14ac:dyDescent="0.3">
      <c r="B103" t="s">
        <v>171</v>
      </c>
      <c r="C103">
        <v>0.3911584580436292</v>
      </c>
      <c r="I103" s="76"/>
      <c r="J103" s="81"/>
      <c r="K103" s="71"/>
      <c r="L103" s="76"/>
      <c r="M103" s="81"/>
    </row>
    <row r="104" spans="2:13" x14ac:dyDescent="0.3">
      <c r="B104" t="s">
        <v>172</v>
      </c>
      <c r="C104">
        <v>0.15300493929906961</v>
      </c>
      <c r="I104" s="76"/>
      <c r="J104" s="81"/>
      <c r="K104" s="71"/>
      <c r="L104" s="76"/>
      <c r="M104" s="81"/>
    </row>
    <row r="105" spans="2:13" x14ac:dyDescent="0.3">
      <c r="B105" t="s">
        <v>173</v>
      </c>
      <c r="C105">
        <v>0.13814537683063224</v>
      </c>
      <c r="I105" s="76"/>
      <c r="J105" s="81"/>
      <c r="K105" s="71"/>
      <c r="L105" s="76"/>
      <c r="M105" s="81"/>
    </row>
    <row r="106" spans="2:13" x14ac:dyDescent="0.3">
      <c r="B106" t="s">
        <v>174</v>
      </c>
      <c r="C106">
        <v>8.2276911855106383E-2</v>
      </c>
      <c r="I106" s="76"/>
      <c r="J106" s="81"/>
      <c r="K106" s="71"/>
      <c r="L106" s="76"/>
      <c r="M106" s="81"/>
    </row>
    <row r="107" spans="2:13" ht="15" thickBot="1" x14ac:dyDescent="0.35">
      <c r="B107" s="181" t="s">
        <v>175</v>
      </c>
      <c r="C107" s="181">
        <v>59</v>
      </c>
      <c r="I107" s="76"/>
      <c r="J107" s="81"/>
      <c r="K107" s="71"/>
      <c r="L107" s="76"/>
      <c r="M107" s="81"/>
    </row>
    <row r="108" spans="2:13" x14ac:dyDescent="0.3">
      <c r="I108" s="76"/>
      <c r="J108" s="81"/>
      <c r="K108" s="71"/>
      <c r="L108" s="76"/>
      <c r="M108" s="81"/>
    </row>
    <row r="109" spans="2:13" ht="15" thickBot="1" x14ac:dyDescent="0.35">
      <c r="B109" t="s">
        <v>176</v>
      </c>
      <c r="I109" s="76"/>
      <c r="J109" s="81"/>
      <c r="K109" s="71"/>
      <c r="L109" s="76"/>
      <c r="M109" s="81"/>
    </row>
    <row r="110" spans="2:13" x14ac:dyDescent="0.3">
      <c r="B110" s="182"/>
      <c r="C110" s="182" t="s">
        <v>177</v>
      </c>
      <c r="D110" s="182" t="s">
        <v>178</v>
      </c>
      <c r="E110" s="182" t="s">
        <v>179</v>
      </c>
      <c r="F110" s="182" t="s">
        <v>180</v>
      </c>
      <c r="G110" s="182" t="s">
        <v>181</v>
      </c>
      <c r="I110" s="76"/>
      <c r="J110" s="81"/>
      <c r="K110" s="71"/>
      <c r="L110" s="76"/>
      <c r="M110" s="81"/>
    </row>
    <row r="111" spans="2:13" x14ac:dyDescent="0.3">
      <c r="B111" t="s">
        <v>182</v>
      </c>
      <c r="C111">
        <v>1</v>
      </c>
      <c r="D111">
        <v>6.9703629771870945E-2</v>
      </c>
      <c r="E111">
        <v>6.9703629771870945E-2</v>
      </c>
      <c r="F111">
        <v>10.296732465983537</v>
      </c>
      <c r="G111">
        <v>2.1889587392828172E-3</v>
      </c>
      <c r="I111" s="76"/>
      <c r="J111" s="81"/>
      <c r="K111" s="71"/>
      <c r="L111" s="76"/>
      <c r="M111" s="81"/>
    </row>
    <row r="112" spans="2:13" x14ac:dyDescent="0.3">
      <c r="B112" t="s">
        <v>183</v>
      </c>
      <c r="C112">
        <v>57</v>
      </c>
      <c r="D112">
        <v>0.38586094279153782</v>
      </c>
      <c r="E112">
        <v>6.7694902244129444E-3</v>
      </c>
      <c r="I112" s="76"/>
      <c r="J112" s="81"/>
      <c r="K112" s="71"/>
      <c r="L112" s="76"/>
      <c r="M112" s="81"/>
    </row>
    <row r="113" spans="2:13" ht="15" thickBot="1" x14ac:dyDescent="0.35">
      <c r="B113" s="181" t="s">
        <v>13</v>
      </c>
      <c r="C113" s="181">
        <v>58</v>
      </c>
      <c r="D113" s="181">
        <v>0.45556457256340877</v>
      </c>
      <c r="E113" s="181"/>
      <c r="F113" s="181"/>
      <c r="G113" s="181"/>
      <c r="I113" s="76"/>
      <c r="J113" s="81"/>
      <c r="K113" s="71"/>
      <c r="L113" s="76"/>
      <c r="M113" s="81"/>
    </row>
    <row r="114" spans="2:13" ht="15" thickBot="1" x14ac:dyDescent="0.35">
      <c r="I114" s="76"/>
      <c r="J114" s="81"/>
      <c r="K114" s="71"/>
      <c r="L114" s="76"/>
      <c r="M114" s="81"/>
    </row>
    <row r="115" spans="2:13" x14ac:dyDescent="0.3">
      <c r="B115" s="182"/>
      <c r="C115" s="182" t="s">
        <v>184</v>
      </c>
      <c r="D115" s="182" t="s">
        <v>174</v>
      </c>
      <c r="E115" s="182" t="s">
        <v>185</v>
      </c>
      <c r="F115" s="182" t="s">
        <v>186</v>
      </c>
      <c r="G115" s="182" t="s">
        <v>187</v>
      </c>
      <c r="H115" s="182" t="s">
        <v>188</v>
      </c>
      <c r="I115" s="76"/>
      <c r="J115" s="81"/>
      <c r="K115" s="71"/>
      <c r="L115" s="76"/>
      <c r="M115" s="81"/>
    </row>
    <row r="116" spans="2:13" x14ac:dyDescent="0.3">
      <c r="B116" t="s">
        <v>191</v>
      </c>
      <c r="C116">
        <v>-2.2902738483663469E-2</v>
      </c>
      <c r="D116">
        <v>1.0984817402910347E-2</v>
      </c>
      <c r="E116">
        <v>-2.0849448510264321</v>
      </c>
      <c r="F116">
        <v>4.1564494159441072E-2</v>
      </c>
      <c r="G116">
        <v>-4.4899455909610177E-2</v>
      </c>
      <c r="H116">
        <v>-9.0602105771676184E-4</v>
      </c>
      <c r="K116" s="71"/>
      <c r="L116" s="71"/>
      <c r="M116" s="71"/>
    </row>
    <row r="117" spans="2:13" ht="15" thickBot="1" x14ac:dyDescent="0.35">
      <c r="B117" s="181" t="s">
        <v>192</v>
      </c>
      <c r="C117" s="181">
        <v>0.92242955435486862</v>
      </c>
      <c r="D117" s="181">
        <v>0.28746402008036509</v>
      </c>
      <c r="E117" s="181">
        <v>3.2088522038235912</v>
      </c>
      <c r="F117" s="181">
        <v>2.1889587392828328E-3</v>
      </c>
      <c r="G117" s="181">
        <v>0.34679278335500119</v>
      </c>
      <c r="H117" s="181">
        <v>1.4980663253547362</v>
      </c>
      <c r="K117" s="71"/>
      <c r="L117" s="71"/>
      <c r="M117" s="71"/>
    </row>
    <row r="118" spans="2:13" x14ac:dyDescent="0.3">
      <c r="K118" s="71"/>
      <c r="L118" s="71"/>
      <c r="M118" s="71"/>
    </row>
    <row r="119" spans="2:13" x14ac:dyDescent="0.3">
      <c r="K119" s="71"/>
      <c r="L119" s="71"/>
      <c r="M119" s="71"/>
    </row>
    <row r="120" spans="2:13" x14ac:dyDescent="0.3">
      <c r="B120" s="195" t="s">
        <v>341</v>
      </c>
      <c r="C120" s="195"/>
      <c r="D120" s="195"/>
      <c r="E120" s="195"/>
      <c r="K120" s="71"/>
      <c r="L120" s="71"/>
      <c r="M120" s="71"/>
    </row>
    <row r="121" spans="2:13" x14ac:dyDescent="0.3">
      <c r="K121" s="71"/>
      <c r="L121" s="71"/>
      <c r="M121" s="71"/>
    </row>
    <row r="122" spans="2:13" x14ac:dyDescent="0.3">
      <c r="B122" t="s">
        <v>169</v>
      </c>
      <c r="K122" s="71"/>
      <c r="L122" s="71"/>
      <c r="M122" s="71"/>
    </row>
    <row r="123" spans="2:13" ht="15" thickBot="1" x14ac:dyDescent="0.35">
      <c r="K123" s="71"/>
      <c r="L123" s="71"/>
      <c r="M123" s="71"/>
    </row>
    <row r="124" spans="2:13" x14ac:dyDescent="0.3">
      <c r="B124" s="183" t="s">
        <v>170</v>
      </c>
      <c r="C124" s="183"/>
      <c r="K124" s="71"/>
      <c r="L124" s="71"/>
      <c r="M124" s="71"/>
    </row>
    <row r="125" spans="2:13" x14ac:dyDescent="0.3">
      <c r="B125" t="s">
        <v>171</v>
      </c>
      <c r="C125">
        <v>0.20416100505723178</v>
      </c>
      <c r="K125" s="71"/>
      <c r="L125" s="71"/>
      <c r="M125" s="71"/>
    </row>
    <row r="126" spans="2:13" x14ac:dyDescent="0.3">
      <c r="B126" t="s">
        <v>172</v>
      </c>
      <c r="C126">
        <v>4.1681715985979022E-2</v>
      </c>
      <c r="K126" s="71"/>
      <c r="L126" s="71"/>
      <c r="M126" s="71"/>
    </row>
    <row r="127" spans="2:13" x14ac:dyDescent="0.3">
      <c r="B127" t="s">
        <v>173</v>
      </c>
      <c r="C127">
        <v>2.4869114512048828E-2</v>
      </c>
      <c r="K127" s="71"/>
      <c r="L127" s="71"/>
      <c r="M127" s="71"/>
    </row>
    <row r="128" spans="2:13" x14ac:dyDescent="0.3">
      <c r="B128" t="s">
        <v>174</v>
      </c>
      <c r="C128">
        <v>6.9176115552126008E-2</v>
      </c>
      <c r="K128" s="71"/>
      <c r="L128" s="71"/>
      <c r="M128" s="71"/>
    </row>
    <row r="129" spans="2:13" ht="15" thickBot="1" x14ac:dyDescent="0.35">
      <c r="B129" s="181" t="s">
        <v>175</v>
      </c>
      <c r="C129" s="181">
        <v>59</v>
      </c>
      <c r="K129" s="71"/>
      <c r="L129" s="71"/>
      <c r="M129" s="71"/>
    </row>
    <row r="130" spans="2:13" x14ac:dyDescent="0.3">
      <c r="K130" s="71"/>
      <c r="L130" s="71"/>
      <c r="M130" s="71"/>
    </row>
    <row r="131" spans="2:13" ht="15" thickBot="1" x14ac:dyDescent="0.35">
      <c r="B131" t="s">
        <v>176</v>
      </c>
      <c r="K131" s="71"/>
      <c r="L131" s="71"/>
      <c r="M131" s="71"/>
    </row>
    <row r="132" spans="2:13" x14ac:dyDescent="0.3">
      <c r="B132" s="182"/>
      <c r="C132" s="182" t="s">
        <v>177</v>
      </c>
      <c r="D132" s="182" t="s">
        <v>178</v>
      </c>
      <c r="E132" s="182" t="s">
        <v>179</v>
      </c>
      <c r="F132" s="182" t="s">
        <v>180</v>
      </c>
      <c r="G132" s="182" t="s">
        <v>181</v>
      </c>
      <c r="K132" s="71"/>
      <c r="L132" s="71"/>
      <c r="M132" s="71"/>
    </row>
    <row r="133" spans="2:13" x14ac:dyDescent="0.3">
      <c r="B133" t="s">
        <v>182</v>
      </c>
      <c r="C133">
        <v>1</v>
      </c>
      <c r="D133">
        <v>1.1863778079190868E-2</v>
      </c>
      <c r="E133">
        <v>1.1863778079190868E-2</v>
      </c>
      <c r="F133">
        <v>2.479194909283442</v>
      </c>
      <c r="G133">
        <v>0.12089595436253772</v>
      </c>
      <c r="K133" s="71"/>
      <c r="L133" s="71"/>
      <c r="M133" s="71"/>
    </row>
    <row r="134" spans="2:13" x14ac:dyDescent="0.3">
      <c r="B134" t="s">
        <v>183</v>
      </c>
      <c r="C134">
        <v>57</v>
      </c>
      <c r="D134">
        <v>0.27276409288422215</v>
      </c>
      <c r="E134">
        <v>4.7853349628810904E-3</v>
      </c>
      <c r="K134" s="71"/>
      <c r="L134" s="71"/>
      <c r="M134" s="71"/>
    </row>
    <row r="135" spans="2:13" ht="15" thickBot="1" x14ac:dyDescent="0.35">
      <c r="B135" s="181" t="s">
        <v>13</v>
      </c>
      <c r="C135" s="181">
        <v>58</v>
      </c>
      <c r="D135" s="181">
        <v>0.28462787096341302</v>
      </c>
      <c r="E135" s="181"/>
      <c r="F135" s="181"/>
      <c r="G135" s="181"/>
      <c r="K135" s="71"/>
      <c r="L135" s="71"/>
      <c r="M135" s="71"/>
    </row>
    <row r="136" spans="2:13" ht="15" thickBot="1" x14ac:dyDescent="0.35">
      <c r="K136" s="71"/>
      <c r="L136" s="71"/>
      <c r="M136" s="71"/>
    </row>
    <row r="137" spans="2:13" x14ac:dyDescent="0.3">
      <c r="B137" s="182"/>
      <c r="C137" s="182" t="s">
        <v>184</v>
      </c>
      <c r="D137" s="182" t="s">
        <v>174</v>
      </c>
      <c r="E137" s="182" t="s">
        <v>185</v>
      </c>
      <c r="F137" s="182" t="s">
        <v>186</v>
      </c>
      <c r="G137" s="182" t="s">
        <v>187</v>
      </c>
      <c r="H137" s="182" t="s">
        <v>188</v>
      </c>
      <c r="K137" s="71"/>
      <c r="L137" s="71"/>
      <c r="M137" s="71"/>
    </row>
    <row r="138" spans="2:13" x14ac:dyDescent="0.3">
      <c r="B138" t="s">
        <v>191</v>
      </c>
      <c r="C138">
        <v>6.78994582018181E-3</v>
      </c>
      <c r="D138">
        <v>9.2357258050828252E-3</v>
      </c>
      <c r="E138">
        <v>0.73518269852110651</v>
      </c>
      <c r="F138">
        <v>0.4652424890170278</v>
      </c>
      <c r="G138">
        <v>-1.1704276095979172E-2</v>
      </c>
      <c r="H138">
        <v>2.5284167736342792E-2</v>
      </c>
      <c r="K138" s="71"/>
      <c r="L138" s="71"/>
      <c r="M138" s="71"/>
    </row>
    <row r="139" spans="2:13" ht="15" thickBot="1" x14ac:dyDescent="0.35">
      <c r="B139" s="181" t="s">
        <v>192</v>
      </c>
      <c r="C139" s="181">
        <v>0.38055463791831468</v>
      </c>
      <c r="D139" s="181">
        <v>0.24169167050384183</v>
      </c>
      <c r="E139" s="181">
        <v>1.5745459374954569</v>
      </c>
      <c r="F139" s="181">
        <v>0.12089595436253718</v>
      </c>
      <c r="G139" s="181">
        <v>-0.10342458406397154</v>
      </c>
      <c r="H139" s="181">
        <v>0.86453385990060094</v>
      </c>
      <c r="K139" s="71"/>
      <c r="L139" s="71"/>
      <c r="M139" s="71"/>
    </row>
    <row r="140" spans="2:13" x14ac:dyDescent="0.3">
      <c r="K140" s="71"/>
      <c r="L140" s="71"/>
      <c r="M140" s="71"/>
    </row>
    <row r="141" spans="2:13" x14ac:dyDescent="0.3">
      <c r="K141" s="71"/>
      <c r="L141" s="71"/>
      <c r="M141" s="71"/>
    </row>
    <row r="142" spans="2:13" x14ac:dyDescent="0.3">
      <c r="B142" s="240" t="s">
        <v>342</v>
      </c>
      <c r="C142" s="240"/>
      <c r="K142" s="71"/>
      <c r="L142" s="71"/>
      <c r="M142" s="71"/>
    </row>
    <row r="143" spans="2:13" x14ac:dyDescent="0.3">
      <c r="K143" s="71"/>
      <c r="L143" s="71"/>
      <c r="M143" s="71"/>
    </row>
    <row r="144" spans="2:13" x14ac:dyDescent="0.3">
      <c r="B144" t="s">
        <v>169</v>
      </c>
      <c r="K144" s="71"/>
      <c r="L144" s="71"/>
      <c r="M144" s="71"/>
    </row>
    <row r="145" spans="2:13" ht="15" thickBot="1" x14ac:dyDescent="0.35">
      <c r="K145" s="71"/>
      <c r="L145" s="71"/>
      <c r="M145" s="71"/>
    </row>
    <row r="146" spans="2:13" x14ac:dyDescent="0.3">
      <c r="B146" s="183" t="s">
        <v>170</v>
      </c>
      <c r="C146" s="183"/>
      <c r="K146" s="71"/>
      <c r="L146" s="71"/>
      <c r="M146" s="71"/>
    </row>
    <row r="147" spans="2:13" x14ac:dyDescent="0.3">
      <c r="B147" t="s">
        <v>171</v>
      </c>
      <c r="C147">
        <v>0.39956423661379825</v>
      </c>
      <c r="K147" s="71"/>
      <c r="L147" s="71"/>
      <c r="M147" s="71"/>
    </row>
    <row r="148" spans="2:13" x14ac:dyDescent="0.3">
      <c r="B148" t="s">
        <v>172</v>
      </c>
      <c r="C148">
        <v>0.15965157918076733</v>
      </c>
      <c r="K148" s="71"/>
      <c r="L148" s="71"/>
      <c r="M148" s="71"/>
    </row>
    <row r="149" spans="2:13" x14ac:dyDescent="0.3">
      <c r="B149" t="s">
        <v>173</v>
      </c>
      <c r="C149">
        <v>0.14490862442955274</v>
      </c>
      <c r="K149" s="71"/>
      <c r="L149" s="71"/>
      <c r="M149" s="71"/>
    </row>
    <row r="150" spans="2:13" x14ac:dyDescent="0.3">
      <c r="B150" t="s">
        <v>174</v>
      </c>
      <c r="C150">
        <v>9.1446427543765724E-2</v>
      </c>
      <c r="K150" s="71"/>
      <c r="L150" s="71"/>
      <c r="M150" s="71"/>
    </row>
    <row r="151" spans="2:13" ht="15" thickBot="1" x14ac:dyDescent="0.35">
      <c r="B151" s="181" t="s">
        <v>175</v>
      </c>
      <c r="C151" s="181">
        <v>59</v>
      </c>
      <c r="K151" s="71"/>
      <c r="L151" s="71"/>
      <c r="M151" s="71"/>
    </row>
    <row r="152" spans="2:13" x14ac:dyDescent="0.3">
      <c r="K152" s="71"/>
      <c r="L152" s="71"/>
      <c r="M152" s="71"/>
    </row>
    <row r="153" spans="2:13" ht="15" thickBot="1" x14ac:dyDescent="0.35">
      <c r="B153" t="s">
        <v>176</v>
      </c>
      <c r="K153" s="71"/>
      <c r="L153" s="71"/>
      <c r="M153" s="71"/>
    </row>
    <row r="154" spans="2:13" x14ac:dyDescent="0.3">
      <c r="B154" s="182"/>
      <c r="C154" s="182" t="s">
        <v>177</v>
      </c>
      <c r="D154" s="182" t="s">
        <v>178</v>
      </c>
      <c r="E154" s="182" t="s">
        <v>179</v>
      </c>
      <c r="F154" s="182" t="s">
        <v>180</v>
      </c>
      <c r="G154" s="182" t="s">
        <v>181</v>
      </c>
      <c r="K154" s="71"/>
      <c r="L154" s="71"/>
      <c r="M154" s="71"/>
    </row>
    <row r="155" spans="2:13" x14ac:dyDescent="0.3">
      <c r="B155" t="s">
        <v>182</v>
      </c>
      <c r="C155">
        <v>1</v>
      </c>
      <c r="D155">
        <v>9.0557030720241627E-2</v>
      </c>
      <c r="E155">
        <v>9.0557030720241627E-2</v>
      </c>
      <c r="F155">
        <v>10.829008287339033</v>
      </c>
      <c r="G155">
        <v>1.7176486609753287E-3</v>
      </c>
      <c r="K155" s="71"/>
      <c r="L155" s="71"/>
      <c r="M155" s="71"/>
    </row>
    <row r="156" spans="2:13" x14ac:dyDescent="0.3">
      <c r="B156" t="s">
        <v>183</v>
      </c>
      <c r="C156">
        <v>57</v>
      </c>
      <c r="D156">
        <v>0.47665959929948015</v>
      </c>
      <c r="E156">
        <v>8.3624491105171953E-3</v>
      </c>
      <c r="K156" s="71"/>
      <c r="L156" s="71"/>
      <c r="M156" s="71"/>
    </row>
    <row r="157" spans="2:13" ht="15" thickBot="1" x14ac:dyDescent="0.35">
      <c r="B157" s="181" t="s">
        <v>13</v>
      </c>
      <c r="C157" s="181">
        <v>58</v>
      </c>
      <c r="D157" s="181">
        <v>0.56721663001972178</v>
      </c>
      <c r="E157" s="181"/>
      <c r="F157" s="181"/>
      <c r="G157" s="181"/>
      <c r="K157" s="71"/>
      <c r="L157" s="71"/>
      <c r="M157" s="71"/>
    </row>
    <row r="158" spans="2:13" ht="15" thickBot="1" x14ac:dyDescent="0.35">
      <c r="K158" s="71"/>
      <c r="L158" s="71"/>
      <c r="M158" s="71"/>
    </row>
    <row r="159" spans="2:13" x14ac:dyDescent="0.3">
      <c r="B159" s="182"/>
      <c r="C159" s="182" t="s">
        <v>184</v>
      </c>
      <c r="D159" s="182" t="s">
        <v>174</v>
      </c>
      <c r="E159" s="182" t="s">
        <v>185</v>
      </c>
      <c r="F159" s="182" t="s">
        <v>186</v>
      </c>
      <c r="G159" s="182" t="s">
        <v>187</v>
      </c>
      <c r="H159" s="182" t="s">
        <v>188</v>
      </c>
      <c r="K159" s="71"/>
      <c r="L159" s="71"/>
      <c r="M159" s="71"/>
    </row>
    <row r="160" spans="2:13" x14ac:dyDescent="0.3">
      <c r="B160" t="s">
        <v>191</v>
      </c>
      <c r="C160">
        <v>-2.3424598628228047E-2</v>
      </c>
      <c r="D160">
        <v>1.2209042440554287E-2</v>
      </c>
      <c r="E160">
        <v>-1.9186270129113072</v>
      </c>
      <c r="F160">
        <v>6.0044448000328543E-2</v>
      </c>
      <c r="G160">
        <v>-4.7872784406455982E-2</v>
      </c>
      <c r="H160">
        <v>1.0235871499998835E-3</v>
      </c>
      <c r="K160" s="71"/>
      <c r="L160" s="71"/>
      <c r="M160" s="71"/>
    </row>
    <row r="161" spans="2:13" ht="15" thickBot="1" x14ac:dyDescent="0.35">
      <c r="B161" s="181" t="s">
        <v>192</v>
      </c>
      <c r="C161" s="181">
        <v>1.051396674423547</v>
      </c>
      <c r="D161" s="181">
        <v>0.31950102514800732</v>
      </c>
      <c r="E161" s="181">
        <v>3.2907458557808775</v>
      </c>
      <c r="F161" s="181">
        <v>1.71764866097534E-3</v>
      </c>
      <c r="G161" s="181">
        <v>0.41160690735659511</v>
      </c>
      <c r="H161" s="181">
        <v>1.6911864414904989</v>
      </c>
      <c r="K161" s="71"/>
      <c r="L161" s="71"/>
      <c r="M161" s="71"/>
    </row>
    <row r="162" spans="2:13" x14ac:dyDescent="0.3">
      <c r="K162" s="71"/>
      <c r="L162" s="71"/>
      <c r="M162" s="71"/>
    </row>
    <row r="163" spans="2:13" x14ac:dyDescent="0.3">
      <c r="K163" s="71"/>
      <c r="L163" s="71"/>
      <c r="M163" s="71"/>
    </row>
    <row r="164" spans="2:13" x14ac:dyDescent="0.3">
      <c r="K164" s="71"/>
      <c r="L164" s="71"/>
      <c r="M164" s="71"/>
    </row>
    <row r="165" spans="2:13" x14ac:dyDescent="0.3">
      <c r="K165" s="71"/>
      <c r="L165" s="71"/>
      <c r="M165" s="71"/>
    </row>
    <row r="166" spans="2:13" x14ac:dyDescent="0.3">
      <c r="K166" s="71"/>
      <c r="L166" s="71"/>
      <c r="M166" s="71"/>
    </row>
    <row r="167" spans="2:13" x14ac:dyDescent="0.3">
      <c r="K167" s="71"/>
      <c r="L167" s="71"/>
      <c r="M167" s="71"/>
    </row>
    <row r="168" spans="2:13" x14ac:dyDescent="0.3">
      <c r="K168" s="71"/>
      <c r="L168" s="71"/>
      <c r="M168" s="71"/>
    </row>
    <row r="169" spans="2:13" x14ac:dyDescent="0.3">
      <c r="K169" s="71"/>
      <c r="L169" s="71"/>
      <c r="M169" s="71"/>
    </row>
    <row r="170" spans="2:13" x14ac:dyDescent="0.3">
      <c r="K170" s="71"/>
      <c r="L170" s="71"/>
      <c r="M170" s="71"/>
    </row>
    <row r="171" spans="2:13" x14ac:dyDescent="0.3">
      <c r="K171" s="71"/>
      <c r="L171" s="71"/>
      <c r="M171" s="71"/>
    </row>
    <row r="172" spans="2:13" x14ac:dyDescent="0.3">
      <c r="K172" s="71"/>
      <c r="L172" s="71"/>
      <c r="M172" s="71"/>
    </row>
    <row r="173" spans="2:13" x14ac:dyDescent="0.3">
      <c r="K173" s="71"/>
      <c r="L173" s="71"/>
      <c r="M173" s="71"/>
    </row>
    <row r="174" spans="2:13" x14ac:dyDescent="0.3">
      <c r="K174" s="71"/>
      <c r="L174" s="71"/>
      <c r="M174" s="71"/>
    </row>
    <row r="175" spans="2:13" x14ac:dyDescent="0.3">
      <c r="K175" s="71"/>
      <c r="L175" s="71"/>
      <c r="M175" s="71"/>
    </row>
    <row r="176" spans="2:13" x14ac:dyDescent="0.3">
      <c r="K176" s="71"/>
      <c r="L176" s="71"/>
      <c r="M176" s="71"/>
    </row>
    <row r="177" spans="11:13" x14ac:dyDescent="0.3">
      <c r="K177" s="71"/>
      <c r="L177" s="71"/>
      <c r="M177" s="71"/>
    </row>
    <row r="178" spans="11:13" x14ac:dyDescent="0.3">
      <c r="K178" s="71"/>
      <c r="L178" s="71"/>
      <c r="M178" s="71"/>
    </row>
    <row r="179" spans="11:13" x14ac:dyDescent="0.3">
      <c r="K179" s="71"/>
      <c r="L179" s="71"/>
      <c r="M179" s="71"/>
    </row>
    <row r="180" spans="11:13" x14ac:dyDescent="0.3">
      <c r="K180" s="71"/>
      <c r="L180" s="71"/>
      <c r="M180" s="71"/>
    </row>
    <row r="181" spans="11:13" x14ac:dyDescent="0.3">
      <c r="K181" s="71"/>
      <c r="L181" s="71"/>
      <c r="M181" s="71"/>
    </row>
    <row r="182" spans="11:13" x14ac:dyDescent="0.3">
      <c r="K182" s="71"/>
      <c r="L182" s="71"/>
      <c r="M182" s="71"/>
    </row>
    <row r="183" spans="11:13" x14ac:dyDescent="0.3">
      <c r="K183" s="71"/>
      <c r="L183" s="71"/>
      <c r="M183" s="71"/>
    </row>
    <row r="184" spans="11:13" x14ac:dyDescent="0.3">
      <c r="K184" s="71"/>
      <c r="L184" s="71"/>
      <c r="M184" s="71"/>
    </row>
    <row r="185" spans="11:13" x14ac:dyDescent="0.3">
      <c r="K185" s="71"/>
      <c r="L185" s="71"/>
      <c r="M185" s="71"/>
    </row>
    <row r="186" spans="11:13" x14ac:dyDescent="0.3">
      <c r="K186" s="71"/>
      <c r="L186" s="71"/>
      <c r="M186" s="71"/>
    </row>
    <row r="187" spans="11:13" x14ac:dyDescent="0.3">
      <c r="K187" s="71"/>
      <c r="L187" s="71"/>
      <c r="M187" s="71"/>
    </row>
    <row r="188" spans="11:13" x14ac:dyDescent="0.3">
      <c r="K188" s="71"/>
      <c r="L188" s="71"/>
      <c r="M188" s="71"/>
    </row>
  </sheetData>
  <mergeCells count="8">
    <mergeCell ref="B5:D5"/>
    <mergeCell ref="B98:D98"/>
    <mergeCell ref="B142:C142"/>
    <mergeCell ref="L7:M7"/>
    <mergeCell ref="B7:D7"/>
    <mergeCell ref="F7:G7"/>
    <mergeCell ref="I7:J7"/>
    <mergeCell ref="A77:C77"/>
  </mergeCells>
  <pageMargins left="0.7" right="0.7" top="0.75" bottom="0.75" header="0.3" footer="0.3"/>
  <pageSetup paperSize="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03E7E-9CE0-48FA-9746-A17CBE6AC889}">
  <dimension ref="B2:J30"/>
  <sheetViews>
    <sheetView showGridLines="0" topLeftCell="A5" workbookViewId="0">
      <selection sqref="A1:F30"/>
    </sheetView>
  </sheetViews>
  <sheetFormatPr defaultRowHeight="14.4" x14ac:dyDescent="0.3"/>
  <cols>
    <col min="1" max="1" width="1.88671875" customWidth="1"/>
    <col min="5" max="5" width="14" bestFit="1" customWidth="1"/>
  </cols>
  <sheetData>
    <row r="2" spans="2:10" x14ac:dyDescent="0.3">
      <c r="B2" s="11" t="s">
        <v>193</v>
      </c>
      <c r="C2" s="61"/>
      <c r="D2" s="61"/>
      <c r="E2" s="61"/>
      <c r="F2" s="61"/>
      <c r="G2" s="71"/>
    </row>
    <row r="3" spans="2:10" x14ac:dyDescent="0.3">
      <c r="B3" s="71"/>
      <c r="C3" s="71"/>
      <c r="D3" s="71"/>
      <c r="E3" s="71"/>
      <c r="F3" s="71"/>
      <c r="G3" s="71"/>
    </row>
    <row r="4" spans="2:10" x14ac:dyDescent="0.3">
      <c r="B4" s="100" t="s">
        <v>152</v>
      </c>
      <c r="C4" s="100" t="s">
        <v>194</v>
      </c>
      <c r="D4" s="71"/>
      <c r="E4" s="71"/>
      <c r="F4" s="71"/>
      <c r="G4" s="71"/>
    </row>
    <row r="5" spans="2:10" x14ac:dyDescent="0.3">
      <c r="B5" s="51">
        <v>2000</v>
      </c>
      <c r="C5" s="78">
        <v>-0.14649999999999999</v>
      </c>
      <c r="D5" s="71"/>
      <c r="E5" s="71"/>
      <c r="F5" s="71"/>
      <c r="G5" s="71"/>
    </row>
    <row r="6" spans="2:10" x14ac:dyDescent="0.3">
      <c r="B6" s="51">
        <v>2001</v>
      </c>
      <c r="C6" s="78">
        <v>-0.1618</v>
      </c>
      <c r="D6" s="71"/>
      <c r="E6" s="71" t="s">
        <v>195</v>
      </c>
      <c r="F6" s="82">
        <f>AVERAGE(C5:C30)</f>
        <v>0.1514923076923077</v>
      </c>
      <c r="J6" s="85" t="s">
        <v>349</v>
      </c>
    </row>
    <row r="7" spans="2:10" ht="16.2" x14ac:dyDescent="0.3">
      <c r="B7" s="51">
        <v>2002</v>
      </c>
      <c r="C7" s="78">
        <v>3.2500000000000001E-2</v>
      </c>
      <c r="D7" s="71"/>
      <c r="E7" s="71" t="s">
        <v>196</v>
      </c>
      <c r="F7" s="177" t="s">
        <v>197</v>
      </c>
      <c r="H7" s="71"/>
    </row>
    <row r="8" spans="2:10" x14ac:dyDescent="0.3">
      <c r="B8" s="51">
        <v>2003</v>
      </c>
      <c r="C8" s="78">
        <v>0.71900000000000008</v>
      </c>
      <c r="D8" s="71"/>
      <c r="E8" s="2" t="s">
        <v>196</v>
      </c>
      <c r="F8" s="176">
        <f t="array" ref="F8">GEOMEAN(1+C5:C30)-1</f>
        <v>0.11650334143488061</v>
      </c>
      <c r="H8" s="71"/>
    </row>
    <row r="9" spans="2:10" x14ac:dyDescent="0.3">
      <c r="B9" s="51">
        <v>2004</v>
      </c>
      <c r="C9" s="78">
        <v>0.10679999999999999</v>
      </c>
      <c r="D9" s="71"/>
      <c r="E9" s="71"/>
      <c r="F9" s="71"/>
      <c r="H9" s="71"/>
    </row>
    <row r="10" spans="2:10" x14ac:dyDescent="0.3">
      <c r="B10" s="51">
        <v>2005</v>
      </c>
      <c r="C10" s="78">
        <v>0.36340000000000006</v>
      </c>
      <c r="D10" s="71"/>
      <c r="J10" s="85" t="s">
        <v>348</v>
      </c>
    </row>
    <row r="11" spans="2:10" x14ac:dyDescent="0.3">
      <c r="B11" s="51">
        <v>2006</v>
      </c>
      <c r="C11" s="78">
        <v>0.39829999999999999</v>
      </c>
      <c r="D11" s="71"/>
      <c r="E11" s="210" t="s">
        <v>196</v>
      </c>
      <c r="F11" s="211">
        <f>SUM(F6:F7)</f>
        <v>0.1514923076923077</v>
      </c>
      <c r="G11" s="71"/>
    </row>
    <row r="12" spans="2:10" x14ac:dyDescent="0.3">
      <c r="B12" s="51">
        <v>2007</v>
      </c>
      <c r="C12" s="78">
        <v>0.54770000000000008</v>
      </c>
      <c r="D12" s="71"/>
      <c r="E12" s="71"/>
      <c r="F12" s="71"/>
      <c r="G12" s="71"/>
    </row>
    <row r="13" spans="2:10" x14ac:dyDescent="0.3">
      <c r="B13" s="51">
        <v>2008</v>
      </c>
      <c r="C13" s="78">
        <v>-0.51790000000000003</v>
      </c>
      <c r="D13" s="71"/>
      <c r="E13" s="71"/>
      <c r="F13" s="71"/>
      <c r="G13" s="71"/>
    </row>
    <row r="14" spans="2:10" x14ac:dyDescent="0.3">
      <c r="B14" s="51">
        <v>2009</v>
      </c>
      <c r="C14" s="78">
        <v>0.75760000000000005</v>
      </c>
      <c r="D14" s="71"/>
      <c r="E14" s="71"/>
      <c r="F14" s="71"/>
      <c r="G14" s="71"/>
    </row>
    <row r="15" spans="2:10" x14ac:dyDescent="0.3">
      <c r="B15" s="51">
        <v>2010</v>
      </c>
      <c r="C15" s="78">
        <v>0.17949999999999999</v>
      </c>
      <c r="D15" s="71"/>
      <c r="E15" s="71"/>
      <c r="F15" s="71"/>
      <c r="G15" s="71"/>
    </row>
    <row r="16" spans="2:10" x14ac:dyDescent="0.3">
      <c r="B16" s="51">
        <v>2011</v>
      </c>
      <c r="C16" s="78">
        <v>-0.2462</v>
      </c>
      <c r="D16" s="71"/>
      <c r="E16" s="71"/>
      <c r="F16" s="71"/>
      <c r="G16" s="71"/>
    </row>
    <row r="17" spans="2:7" x14ac:dyDescent="0.3">
      <c r="B17" s="51">
        <v>2012</v>
      </c>
      <c r="C17" s="78">
        <v>0.27699999999999997</v>
      </c>
      <c r="D17" s="71"/>
      <c r="E17" s="71"/>
      <c r="F17" s="71"/>
      <c r="G17" s="71"/>
    </row>
    <row r="18" spans="2:7" x14ac:dyDescent="0.3">
      <c r="B18" s="51">
        <v>2013</v>
      </c>
      <c r="C18" s="78">
        <v>6.7599999999999993E-2</v>
      </c>
      <c r="D18" s="71"/>
      <c r="E18" s="71"/>
      <c r="F18" s="71"/>
      <c r="G18" s="71"/>
    </row>
    <row r="19" spans="2:7" x14ac:dyDescent="0.3">
      <c r="B19" s="51">
        <v>2014</v>
      </c>
      <c r="C19" s="78">
        <v>0.31390000000000001</v>
      </c>
      <c r="D19" s="71"/>
      <c r="E19" s="71"/>
      <c r="F19" s="71"/>
      <c r="G19" s="71"/>
    </row>
    <row r="20" spans="2:7" x14ac:dyDescent="0.3">
      <c r="B20" s="51">
        <v>2015</v>
      </c>
      <c r="C20" s="78">
        <v>-4.0599999999999997E-2</v>
      </c>
      <c r="D20" s="71"/>
      <c r="E20" s="71"/>
      <c r="F20" s="71"/>
      <c r="G20" s="71"/>
    </row>
    <row r="21" spans="2:7" x14ac:dyDescent="0.3">
      <c r="B21" s="51">
        <v>2016</v>
      </c>
      <c r="C21" s="78">
        <v>3.0099999999999998E-2</v>
      </c>
      <c r="D21" s="71"/>
      <c r="E21" s="71"/>
      <c r="F21" s="71"/>
      <c r="G21" s="71"/>
    </row>
    <row r="22" spans="2:7" x14ac:dyDescent="0.3">
      <c r="B22" s="51">
        <v>2017</v>
      </c>
      <c r="C22" s="78">
        <v>0.28649999999999998</v>
      </c>
      <c r="D22" s="71"/>
      <c r="E22" s="71"/>
      <c r="F22" s="71"/>
      <c r="G22" s="71"/>
    </row>
    <row r="23" spans="2:7" x14ac:dyDescent="0.3">
      <c r="B23" s="51">
        <v>2018</v>
      </c>
      <c r="C23" s="78">
        <v>3.15E-2</v>
      </c>
      <c r="D23" s="71"/>
      <c r="E23" s="71"/>
      <c r="F23" s="71"/>
      <c r="G23" s="71"/>
    </row>
    <row r="24" spans="2:7" x14ac:dyDescent="0.3">
      <c r="B24" s="51">
        <v>2019</v>
      </c>
      <c r="C24" s="78">
        <v>0.1202</v>
      </c>
      <c r="D24" s="71"/>
      <c r="E24" s="71"/>
      <c r="F24" s="71"/>
      <c r="G24" s="71"/>
    </row>
    <row r="25" spans="2:7" x14ac:dyDescent="0.3">
      <c r="B25" s="51">
        <v>2020</v>
      </c>
      <c r="C25" s="78">
        <v>0.14899999999999999</v>
      </c>
      <c r="D25" s="71"/>
      <c r="E25" s="71"/>
      <c r="F25" s="71"/>
      <c r="G25" s="71"/>
    </row>
    <row r="26" spans="2:7" x14ac:dyDescent="0.3">
      <c r="B26" s="51">
        <v>2021</v>
      </c>
      <c r="C26" s="78">
        <v>0.2412</v>
      </c>
      <c r="D26" s="71"/>
      <c r="E26" s="71"/>
      <c r="F26" s="71"/>
      <c r="G26" s="71"/>
    </row>
    <row r="27" spans="2:7" x14ac:dyDescent="0.3">
      <c r="B27" s="51">
        <v>2022</v>
      </c>
      <c r="C27" s="78">
        <v>4.3200000000000002E-2</v>
      </c>
      <c r="D27" s="71"/>
      <c r="E27" s="71"/>
      <c r="F27" s="71"/>
      <c r="G27" s="71"/>
    </row>
    <row r="28" spans="2:7" x14ac:dyDescent="0.3">
      <c r="B28" s="51">
        <v>2023</v>
      </c>
      <c r="C28" s="78">
        <v>0.19420000000000001</v>
      </c>
      <c r="D28" s="71"/>
      <c r="E28" s="71"/>
      <c r="F28" s="71"/>
      <c r="G28" s="71"/>
    </row>
    <row r="29" spans="2:7" x14ac:dyDescent="0.3">
      <c r="B29" s="51">
        <v>2024</v>
      </c>
      <c r="C29" s="78">
        <v>8.7499999999999994E-2</v>
      </c>
      <c r="D29" s="71"/>
      <c r="E29" s="71"/>
      <c r="F29" s="71"/>
      <c r="G29" s="71"/>
    </row>
    <row r="30" spans="2:7" x14ac:dyDescent="0.3">
      <c r="B30" s="51">
        <v>2025</v>
      </c>
      <c r="C30" s="78">
        <v>0.1051</v>
      </c>
      <c r="D30" s="71"/>
      <c r="E30" s="71"/>
      <c r="F30" s="71"/>
      <c r="G30" s="71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5A446-F3D9-4C8E-84D3-E9714481F5E7}">
  <sheetPr>
    <pageSetUpPr fitToPage="1"/>
  </sheetPr>
  <dimension ref="A2:K68"/>
  <sheetViews>
    <sheetView showGridLines="0" topLeftCell="AH30" zoomScale="70" zoomScaleNormal="102" workbookViewId="0">
      <selection activeCell="M26" sqref="M26"/>
    </sheetView>
  </sheetViews>
  <sheetFormatPr defaultRowHeight="14.4" x14ac:dyDescent="0.3"/>
  <cols>
    <col min="1" max="1" width="1.88671875" customWidth="1"/>
    <col min="7" max="7" width="10.5546875" bestFit="1" customWidth="1"/>
    <col min="8" max="8" width="11.21875" customWidth="1"/>
    <col min="9" max="9" width="11.77734375" customWidth="1"/>
    <col min="10" max="10" width="12.5546875" customWidth="1"/>
    <col min="11" max="11" width="11.33203125" customWidth="1"/>
  </cols>
  <sheetData>
    <row r="2" spans="2:11" x14ac:dyDescent="0.3">
      <c r="B2" s="242" t="s">
        <v>333</v>
      </c>
      <c r="C2" s="243"/>
      <c r="D2" s="243"/>
      <c r="E2" s="243"/>
      <c r="F2" s="243"/>
      <c r="G2" s="243"/>
      <c r="H2" s="243"/>
      <c r="I2" s="243"/>
      <c r="J2" s="243"/>
      <c r="K2" s="243"/>
    </row>
    <row r="3" spans="2:11" x14ac:dyDescent="0.3">
      <c r="B3" s="243"/>
      <c r="C3" s="243"/>
      <c r="D3" s="243"/>
      <c r="E3" s="243"/>
      <c r="F3" s="243"/>
      <c r="G3" s="243"/>
      <c r="H3" s="243"/>
      <c r="I3" s="243"/>
      <c r="J3" s="243"/>
      <c r="K3" s="243"/>
    </row>
    <row r="4" spans="2:11" x14ac:dyDescent="0.3">
      <c r="B4" s="243"/>
      <c r="C4" s="243"/>
      <c r="D4" s="243"/>
      <c r="E4" s="243"/>
      <c r="F4" s="243"/>
      <c r="G4" s="243"/>
      <c r="H4" s="243"/>
      <c r="I4" s="243"/>
      <c r="J4" s="243"/>
      <c r="K4" s="243"/>
    </row>
    <row r="5" spans="2:11" x14ac:dyDescent="0.3">
      <c r="B5" s="168"/>
    </row>
    <row r="7" spans="2:11" x14ac:dyDescent="0.3">
      <c r="B7" s="11" t="s">
        <v>280</v>
      </c>
      <c r="C7" s="61"/>
      <c r="D7" s="61"/>
      <c r="E7" s="61"/>
      <c r="F7" s="61"/>
      <c r="G7" s="134">
        <f>'Raw FS'!J$2</f>
        <v>44256</v>
      </c>
      <c r="H7" s="134">
        <f>'Raw FS'!K$2</f>
        <v>44621</v>
      </c>
      <c r="I7" s="134">
        <f>'Raw FS'!L$2</f>
        <v>44986</v>
      </c>
      <c r="J7" s="134">
        <f>'Raw FS'!M$2</f>
        <v>45352</v>
      </c>
      <c r="K7" s="134">
        <f>'Raw FS'!N$2</f>
        <v>45717</v>
      </c>
    </row>
    <row r="9" spans="2:11" x14ac:dyDescent="0.3">
      <c r="B9" s="2" t="s">
        <v>281</v>
      </c>
    </row>
    <row r="10" spans="2:11" x14ac:dyDescent="0.3">
      <c r="B10" s="122" t="str">
        <f>'Raw FS'!B35</f>
        <v>Inventories</v>
      </c>
      <c r="C10" s="122"/>
      <c r="D10" s="122"/>
      <c r="E10" s="122"/>
      <c r="F10" s="122"/>
      <c r="G10" s="145">
        <f>'Raw FS'!J35</f>
        <v>3799</v>
      </c>
      <c r="H10" s="145">
        <f>'Raw FS'!K35</f>
        <v>6153</v>
      </c>
      <c r="I10" s="145">
        <f>'Raw FS'!L35</f>
        <v>6211</v>
      </c>
      <c r="J10" s="145">
        <f>'Raw FS'!M35</f>
        <v>5923</v>
      </c>
      <c r="K10" s="145">
        <f>'Raw FS'!N35</f>
        <v>6719</v>
      </c>
    </row>
    <row r="11" spans="2:11" x14ac:dyDescent="0.3">
      <c r="B11" s="122" t="str">
        <f>'Raw FS'!B36</f>
        <v>Trade Reveivable</v>
      </c>
      <c r="C11" s="122"/>
      <c r="D11" s="122"/>
      <c r="E11" s="122"/>
      <c r="F11" s="122"/>
      <c r="G11" s="145">
        <f>'Raw FS'!J36</f>
        <v>2602</v>
      </c>
      <c r="H11" s="145">
        <f>'Raw FS'!K36</f>
        <v>3871</v>
      </c>
      <c r="I11" s="145">
        <f>'Raw FS'!L36</f>
        <v>4637</v>
      </c>
      <c r="J11" s="145">
        <f>'Raw FS'!M36</f>
        <v>4889</v>
      </c>
      <c r="K11" s="145">
        <f>'Raw FS'!N36</f>
        <v>4314</v>
      </c>
    </row>
    <row r="12" spans="2:11" x14ac:dyDescent="0.3">
      <c r="B12" s="122" t="str">
        <f>'Raw FS'!B38</f>
        <v>Loans n Advances</v>
      </c>
      <c r="C12" s="122"/>
      <c r="D12" s="122"/>
      <c r="E12" s="122"/>
      <c r="F12" s="122"/>
      <c r="G12" s="145">
        <f>'Raw FS'!J38</f>
        <v>12</v>
      </c>
      <c r="H12" s="145">
        <f>'Raw FS'!K38</f>
        <v>8</v>
      </c>
      <c r="I12" s="145">
        <f>'Raw FS'!L38</f>
        <v>12</v>
      </c>
      <c r="J12" s="145">
        <f>'Raw FS'!M38</f>
        <v>17</v>
      </c>
      <c r="K12" s="145">
        <f>'Raw FS'!N38</f>
        <v>22</v>
      </c>
    </row>
    <row r="13" spans="2:11" x14ac:dyDescent="0.3">
      <c r="B13" s="136" t="str">
        <f>'Raw FS'!B39</f>
        <v>Other asset items</v>
      </c>
      <c r="C13" s="136"/>
      <c r="D13" s="136"/>
      <c r="E13" s="136"/>
      <c r="F13" s="136"/>
      <c r="G13" s="146">
        <f>'Raw FS'!J39</f>
        <v>2554</v>
      </c>
      <c r="H13" s="146">
        <f>'Raw FS'!K39</f>
        <v>2869</v>
      </c>
      <c r="I13" s="146">
        <f>'Raw FS'!L39</f>
        <v>3024</v>
      </c>
      <c r="J13" s="146">
        <f>'Raw FS'!M39</f>
        <v>3555</v>
      </c>
      <c r="K13" s="146">
        <f>'Raw FS'!N39</f>
        <v>3319</v>
      </c>
    </row>
    <row r="14" spans="2:11" x14ac:dyDescent="0.3">
      <c r="B14" s="137" t="s">
        <v>282</v>
      </c>
      <c r="C14" s="135"/>
      <c r="D14" s="135"/>
      <c r="E14" s="135"/>
      <c r="F14" s="135"/>
      <c r="G14" s="147">
        <f>SUM(G10:G13)</f>
        <v>8967</v>
      </c>
      <c r="H14" s="147">
        <f>SUM(H10:H13)</f>
        <v>12901</v>
      </c>
      <c r="I14" s="147">
        <f>SUM(I10:I13)</f>
        <v>13884</v>
      </c>
      <c r="J14" s="147">
        <f>SUM(J10:J13)</f>
        <v>14384</v>
      </c>
      <c r="K14" s="147">
        <f>SUM(K10:K13)</f>
        <v>14374</v>
      </c>
    </row>
    <row r="15" spans="2:11" x14ac:dyDescent="0.3">
      <c r="G15" s="148"/>
      <c r="H15" s="148"/>
      <c r="I15" s="148"/>
      <c r="J15" s="148"/>
      <c r="K15" s="148"/>
    </row>
    <row r="16" spans="2:11" x14ac:dyDescent="0.3">
      <c r="B16" s="2" t="s">
        <v>283</v>
      </c>
      <c r="G16" s="148"/>
      <c r="H16" s="148"/>
      <c r="I16" s="148"/>
      <c r="J16" s="148"/>
      <c r="K16" s="148"/>
    </row>
    <row r="17" spans="1:11" x14ac:dyDescent="0.3">
      <c r="B17" s="122" t="str">
        <f>'Raw FS'!B13</f>
        <v>Trade Payables</v>
      </c>
      <c r="C17" s="122"/>
      <c r="D17" s="122"/>
      <c r="E17" s="122"/>
      <c r="F17" s="122"/>
      <c r="G17" s="145">
        <f>'Raw FS'!J13</f>
        <v>3379</v>
      </c>
      <c r="H17" s="145">
        <f>'Raw FS'!K13</f>
        <v>4164</v>
      </c>
      <c r="I17" s="145">
        <f>'Raw FS'!L13</f>
        <v>3635</v>
      </c>
      <c r="J17" s="145">
        <f>'Raw FS'!M13</f>
        <v>3831</v>
      </c>
      <c r="K17" s="145">
        <f>'Raw FS'!N13</f>
        <v>3848</v>
      </c>
    </row>
    <row r="18" spans="1:11" x14ac:dyDescent="0.3">
      <c r="B18" s="122" t="str">
        <f>'Raw FS'!B14</f>
        <v>Advance from Customers</v>
      </c>
      <c r="C18" s="122"/>
      <c r="D18" s="122"/>
      <c r="E18" s="122"/>
      <c r="F18" s="122"/>
      <c r="G18" s="145">
        <f>'Raw FS'!J14</f>
        <v>41</v>
      </c>
      <c r="H18" s="145">
        <f>'Raw FS'!K14</f>
        <v>76</v>
      </c>
      <c r="I18" s="145">
        <f>'Raw FS'!L14</f>
        <v>108</v>
      </c>
      <c r="J18" s="145">
        <f>'Raw FS'!M14</f>
        <v>154</v>
      </c>
      <c r="K18" s="145">
        <f>'Raw FS'!N14</f>
        <v>173</v>
      </c>
    </row>
    <row r="19" spans="1:11" x14ac:dyDescent="0.3">
      <c r="B19" s="122" t="str">
        <f>'Raw FS'!B15</f>
        <v>Other liability items</v>
      </c>
      <c r="C19" s="122"/>
      <c r="D19" s="122"/>
      <c r="E19" s="122"/>
      <c r="F19" s="122"/>
      <c r="G19" s="145">
        <f>'Raw FS'!J15</f>
        <v>2613</v>
      </c>
      <c r="H19" s="145">
        <f>'Raw FS'!K15</f>
        <v>2932</v>
      </c>
      <c r="I19" s="145">
        <f>'Raw FS'!L15</f>
        <v>3657</v>
      </c>
      <c r="J19" s="145">
        <f>'Raw FS'!M15</f>
        <v>4017</v>
      </c>
      <c r="K19" s="145">
        <f>'Raw FS'!N15</f>
        <v>3985</v>
      </c>
    </row>
    <row r="20" spans="1:11" x14ac:dyDescent="0.3">
      <c r="B20" s="137" t="s">
        <v>284</v>
      </c>
      <c r="C20" s="135"/>
      <c r="D20" s="135"/>
      <c r="E20" s="135"/>
      <c r="F20" s="135"/>
      <c r="G20" s="147">
        <f>SUM(G17:G19)</f>
        <v>6033</v>
      </c>
      <c r="H20" s="147">
        <f>SUM(H17:H19)</f>
        <v>7172</v>
      </c>
      <c r="I20" s="147">
        <f>SUM(I17:I19)</f>
        <v>7400</v>
      </c>
      <c r="J20" s="147">
        <f>SUM(J17:J19)</f>
        <v>8002</v>
      </c>
      <c r="K20" s="147">
        <f>SUM(K17:K19)</f>
        <v>8006</v>
      </c>
    </row>
    <row r="21" spans="1:11" x14ac:dyDescent="0.3">
      <c r="G21" s="148"/>
      <c r="H21" s="148"/>
      <c r="I21" s="148"/>
      <c r="J21" s="148"/>
      <c r="K21" s="148"/>
    </row>
    <row r="22" spans="1:11" ht="15" thickBot="1" x14ac:dyDescent="0.35">
      <c r="A22" t="s">
        <v>58</v>
      </c>
      <c r="B22" s="138" t="s">
        <v>285</v>
      </c>
      <c r="C22" s="139"/>
      <c r="D22" s="139"/>
      <c r="E22" s="139"/>
      <c r="F22" s="139"/>
      <c r="G22" s="149">
        <f>G14-G20</f>
        <v>2934</v>
      </c>
      <c r="H22" s="149">
        <f>H14-H20</f>
        <v>5729</v>
      </c>
      <c r="I22" s="149">
        <f>I14-I20</f>
        <v>6484</v>
      </c>
      <c r="J22" s="149">
        <f>J14-J20</f>
        <v>6382</v>
      </c>
      <c r="K22" s="149">
        <f>K14-K20</f>
        <v>6368</v>
      </c>
    </row>
    <row r="23" spans="1:11" x14ac:dyDescent="0.3">
      <c r="G23" s="148"/>
      <c r="H23" s="148"/>
      <c r="I23" s="148"/>
      <c r="J23" s="148"/>
      <c r="K23" s="148"/>
    </row>
    <row r="24" spans="1:11" x14ac:dyDescent="0.3">
      <c r="B24" s="2" t="s">
        <v>286</v>
      </c>
      <c r="G24" s="148"/>
      <c r="H24" s="148"/>
      <c r="I24" s="148"/>
      <c r="J24" s="148"/>
      <c r="K24" s="148"/>
    </row>
    <row r="25" spans="1:11" x14ac:dyDescent="0.3">
      <c r="B25" s="122" t="str">
        <f>'Raw FS'!B19</f>
        <v>Land</v>
      </c>
      <c r="C25" s="122"/>
      <c r="D25" s="122"/>
      <c r="E25" s="122"/>
      <c r="F25" s="122"/>
      <c r="G25" s="145">
        <f>'Raw FS'!J19</f>
        <v>644</v>
      </c>
      <c r="H25" s="145">
        <f>'Raw FS'!K19</f>
        <v>644</v>
      </c>
      <c r="I25" s="145">
        <f>'Raw FS'!L19</f>
        <v>804</v>
      </c>
      <c r="J25" s="145">
        <f>'Raw FS'!M19</f>
        <v>1126</v>
      </c>
      <c r="K25" s="145">
        <f>'Raw FS'!N19</f>
        <v>1050</v>
      </c>
    </row>
    <row r="26" spans="1:11" x14ac:dyDescent="0.3">
      <c r="B26" s="122" t="str">
        <f>'Raw FS'!B20</f>
        <v>Building</v>
      </c>
      <c r="C26" s="122"/>
      <c r="D26" s="122"/>
      <c r="E26" s="122"/>
      <c r="F26" s="122"/>
      <c r="G26" s="145">
        <f>'Raw FS'!J20</f>
        <v>2249</v>
      </c>
      <c r="H26" s="145">
        <f>'Raw FS'!K20</f>
        <v>2325</v>
      </c>
      <c r="I26" s="145">
        <f>'Raw FS'!L20</f>
        <v>2883</v>
      </c>
      <c r="J26" s="145">
        <f>'Raw FS'!M20</f>
        <v>3390</v>
      </c>
      <c r="K26" s="145">
        <f>'Raw FS'!N20</f>
        <v>4136</v>
      </c>
    </row>
    <row r="27" spans="1:11" x14ac:dyDescent="0.3">
      <c r="B27" s="122" t="str">
        <f>'Raw FS'!B21</f>
        <v>Plant Machinery</v>
      </c>
      <c r="C27" s="122"/>
      <c r="D27" s="122"/>
      <c r="E27" s="122"/>
      <c r="F27" s="122"/>
      <c r="G27" s="145">
        <f>'Raw FS'!J21</f>
        <v>4340</v>
      </c>
      <c r="H27" s="145">
        <f>'Raw FS'!K21</f>
        <v>4531</v>
      </c>
      <c r="I27" s="145">
        <f>'Raw FS'!L21</f>
        <v>4825</v>
      </c>
      <c r="J27" s="145">
        <f>'Raw FS'!M21</f>
        <v>5422</v>
      </c>
      <c r="K27" s="145">
        <f>'Raw FS'!N21</f>
        <v>7576</v>
      </c>
    </row>
    <row r="28" spans="1:11" x14ac:dyDescent="0.3">
      <c r="B28" s="122" t="str">
        <f>'Raw FS'!B22</f>
        <v>Equipments</v>
      </c>
      <c r="C28" s="122"/>
      <c r="D28" s="122"/>
      <c r="E28" s="122"/>
      <c r="F28" s="122"/>
      <c r="G28" s="145">
        <f>'Raw FS'!J22</f>
        <v>243</v>
      </c>
      <c r="H28" s="145">
        <f>'Raw FS'!K22</f>
        <v>253</v>
      </c>
      <c r="I28" s="145">
        <f>'Raw FS'!L22</f>
        <v>270</v>
      </c>
      <c r="J28" s="145">
        <f>'Raw FS'!M22</f>
        <v>298</v>
      </c>
      <c r="K28" s="145">
        <f>'Raw FS'!N22</f>
        <v>325</v>
      </c>
    </row>
    <row r="29" spans="1:11" x14ac:dyDescent="0.3">
      <c r="B29" s="122" t="str">
        <f>'Raw FS'!B23</f>
        <v>Furniture n fittings</v>
      </c>
      <c r="C29" s="122"/>
      <c r="D29" s="122"/>
      <c r="E29" s="122"/>
      <c r="F29" s="122"/>
      <c r="G29" s="145">
        <f>'Raw FS'!J23</f>
        <v>99</v>
      </c>
      <c r="H29" s="145">
        <f>'Raw FS'!K23</f>
        <v>113</v>
      </c>
      <c r="I29" s="145">
        <f>'Raw FS'!L23</f>
        <v>146</v>
      </c>
      <c r="J29" s="145">
        <f>'Raw FS'!M23</f>
        <v>175</v>
      </c>
      <c r="K29" s="145">
        <f>'Raw FS'!N23</f>
        <v>203</v>
      </c>
    </row>
    <row r="30" spans="1:11" x14ac:dyDescent="0.3">
      <c r="B30" s="122" t="str">
        <f>'Raw FS'!B24</f>
        <v>Vehicles</v>
      </c>
      <c r="C30" s="122"/>
      <c r="D30" s="122"/>
      <c r="E30" s="122"/>
      <c r="F30" s="122"/>
      <c r="G30" s="145">
        <f>'Raw FS'!J24</f>
        <v>38</v>
      </c>
      <c r="H30" s="145">
        <f>'Raw FS'!K24</f>
        <v>32</v>
      </c>
      <c r="I30" s="145">
        <f>'Raw FS'!L24</f>
        <v>36</v>
      </c>
      <c r="J30" s="145">
        <f>'Raw FS'!M24</f>
        <v>40</v>
      </c>
      <c r="K30" s="145">
        <f>'Raw FS'!N24</f>
        <v>39</v>
      </c>
    </row>
    <row r="31" spans="1:11" x14ac:dyDescent="0.3">
      <c r="B31" s="122" t="str">
        <f>'Raw FS'!B25</f>
        <v>Intangible Assets</v>
      </c>
      <c r="C31" s="122"/>
      <c r="D31" s="122"/>
      <c r="E31" s="122"/>
      <c r="F31" s="122"/>
      <c r="G31" s="145">
        <f>'Raw FS'!J25</f>
        <v>476</v>
      </c>
      <c r="H31" s="145">
        <f>'Raw FS'!K25</f>
        <v>345</v>
      </c>
      <c r="I31" s="145">
        <f>'Raw FS'!L25</f>
        <v>422</v>
      </c>
      <c r="J31" s="145">
        <f>'Raw FS'!M25</f>
        <v>850</v>
      </c>
      <c r="K31" s="145">
        <f>'Raw FS'!N25</f>
        <v>827</v>
      </c>
    </row>
    <row r="32" spans="1:11" x14ac:dyDescent="0.3">
      <c r="B32" s="35" t="str">
        <f>'Raw FS'!B26</f>
        <v>Other fixed assets</v>
      </c>
      <c r="C32" s="35"/>
      <c r="D32" s="35"/>
      <c r="E32" s="35"/>
      <c r="F32" s="35"/>
      <c r="G32" s="150">
        <f>'Raw FS'!J26</f>
        <v>302</v>
      </c>
      <c r="H32" s="150">
        <f>'Raw FS'!K26</f>
        <v>294</v>
      </c>
      <c r="I32" s="150">
        <f>'Raw FS'!L26</f>
        <v>289</v>
      </c>
      <c r="J32" s="150">
        <f>'Raw FS'!M26</f>
        <v>321</v>
      </c>
      <c r="K32" s="150">
        <f>'Raw FS'!N26</f>
        <v>328</v>
      </c>
    </row>
    <row r="33" spans="1:11" ht="3.6" customHeight="1" x14ac:dyDescent="0.3">
      <c r="B33" s="122"/>
      <c r="C33" s="122"/>
      <c r="D33" s="122"/>
      <c r="E33" s="122"/>
      <c r="F33" s="122"/>
      <c r="G33" s="145"/>
      <c r="H33" s="145"/>
      <c r="I33" s="145"/>
      <c r="J33" s="145"/>
      <c r="K33" s="145"/>
    </row>
    <row r="34" spans="1:11" x14ac:dyDescent="0.3">
      <c r="B34" s="137" t="s">
        <v>266</v>
      </c>
      <c r="C34" s="137"/>
      <c r="D34" s="137"/>
      <c r="E34" s="137"/>
      <c r="F34" s="137"/>
      <c r="G34" s="147">
        <f>SUM(G25:G32)</f>
        <v>8391</v>
      </c>
      <c r="H34" s="147">
        <f>SUM(H25:H32)</f>
        <v>8537</v>
      </c>
      <c r="I34" s="147">
        <f>SUM(I25:I32)</f>
        <v>9675</v>
      </c>
      <c r="J34" s="147">
        <f>SUM(J25:J32)</f>
        <v>11622</v>
      </c>
      <c r="K34" s="147">
        <f>SUM(K25:K32)</f>
        <v>14484</v>
      </c>
    </row>
    <row r="35" spans="1:11" x14ac:dyDescent="0.3">
      <c r="B35" t="str">
        <f>'Raw FS'!B28</f>
        <v>Accumulated Depreciation</v>
      </c>
      <c r="G35" s="148">
        <f>-'Raw FS'!J28</f>
        <v>-2533</v>
      </c>
      <c r="H35" s="148">
        <f>-'Raw FS'!K28</f>
        <v>-3019</v>
      </c>
      <c r="I35" s="148">
        <f>-'Raw FS'!L28</f>
        <v>-3905</v>
      </c>
      <c r="J35" s="148">
        <f>-'Raw FS'!M28</f>
        <v>-4475</v>
      </c>
      <c r="K35" s="148">
        <f>-'Raw FS'!N28</f>
        <v>-5264</v>
      </c>
    </row>
    <row r="36" spans="1:11" ht="15" thickBot="1" x14ac:dyDescent="0.35">
      <c r="A36" t="s">
        <v>58</v>
      </c>
      <c r="B36" s="138" t="s">
        <v>287</v>
      </c>
      <c r="C36" s="139"/>
      <c r="D36" s="139"/>
      <c r="E36" s="139"/>
      <c r="F36" s="139"/>
      <c r="G36" s="149">
        <f>SUM(G34:G35)</f>
        <v>5858</v>
      </c>
      <c r="H36" s="149">
        <f>SUM(H34:H35)</f>
        <v>5518</v>
      </c>
      <c r="I36" s="149">
        <f>SUM(I34:I35)</f>
        <v>5770</v>
      </c>
      <c r="J36" s="149">
        <f>SUM(J34:J35)</f>
        <v>7147</v>
      </c>
      <c r="K36" s="149">
        <f>SUM(K34:K35)</f>
        <v>9220</v>
      </c>
    </row>
    <row r="37" spans="1:11" x14ac:dyDescent="0.3">
      <c r="G37" s="148"/>
      <c r="H37" s="148"/>
      <c r="I37" s="148"/>
      <c r="J37" s="148"/>
      <c r="K37" s="148"/>
    </row>
    <row r="38" spans="1:11" x14ac:dyDescent="0.3">
      <c r="A38" t="s">
        <v>58</v>
      </c>
      <c r="B38" s="2" t="s">
        <v>288</v>
      </c>
      <c r="C38" s="2"/>
      <c r="D38" s="2"/>
      <c r="E38" s="2"/>
      <c r="F38" s="2"/>
      <c r="G38" s="151">
        <f>G36+G22</f>
        <v>8792</v>
      </c>
      <c r="H38" s="151">
        <f>H36+H22</f>
        <v>11247</v>
      </c>
      <c r="I38" s="151">
        <f>I36+I22</f>
        <v>12254</v>
      </c>
      <c r="J38" s="151">
        <f>J36+J22</f>
        <v>13529</v>
      </c>
      <c r="K38" s="151">
        <f>K36+K22</f>
        <v>15588</v>
      </c>
    </row>
    <row r="39" spans="1:11" x14ac:dyDescent="0.3">
      <c r="B39" s="2" t="s">
        <v>289</v>
      </c>
      <c r="C39" s="2"/>
      <c r="D39" s="2"/>
      <c r="E39" s="2"/>
      <c r="F39" s="2"/>
      <c r="G39" s="151">
        <f>'Historical FS '!H27+'Historical FS '!H21</f>
        <v>4064.3300000000031</v>
      </c>
      <c r="H39" s="151">
        <f>'Historical FS '!I27+'Historical FS '!I21</f>
        <v>3987.2499999999986</v>
      </c>
      <c r="I39" s="151">
        <f>'Historical FS '!J27+'Historical FS '!J21</f>
        <v>5401.8199999999952</v>
      </c>
      <c r="J39" s="151">
        <f>'Historical FS '!K27+'Historical FS '!K21</f>
        <v>6731.9800000000014</v>
      </c>
      <c r="K39" s="151">
        <f>'Historical FS '!L27+'Historical FS '!L21</f>
        <v>4979.8700000000026</v>
      </c>
    </row>
    <row r="41" spans="1:11" ht="15" thickBot="1" x14ac:dyDescent="0.35">
      <c r="A41" t="s">
        <v>58</v>
      </c>
      <c r="B41" s="138" t="s">
        <v>290</v>
      </c>
      <c r="C41" s="138"/>
      <c r="D41" s="138"/>
      <c r="E41" s="138"/>
      <c r="F41" s="138"/>
      <c r="G41" s="140">
        <f>G39/G38</f>
        <v>0.46227593266606043</v>
      </c>
      <c r="H41" s="140">
        <f>H39/H38</f>
        <v>0.35451676002489541</v>
      </c>
      <c r="I41" s="140">
        <f>I39/I38</f>
        <v>0.44082095642239227</v>
      </c>
      <c r="J41" s="140">
        <f>J39/J38</f>
        <v>0.49759627466922918</v>
      </c>
      <c r="K41" s="140">
        <f>K39/K38</f>
        <v>0.31946818065178362</v>
      </c>
    </row>
    <row r="44" spans="1:11" x14ac:dyDescent="0.3">
      <c r="A44" t="s">
        <v>58</v>
      </c>
      <c r="B44" s="11" t="s">
        <v>291</v>
      </c>
      <c r="C44" s="61"/>
      <c r="D44" s="61"/>
      <c r="E44" s="61"/>
      <c r="F44" s="61"/>
      <c r="G44" s="134">
        <f>G7</f>
        <v>44256</v>
      </c>
      <c r="H44" s="134">
        <f>H7</f>
        <v>44621</v>
      </c>
      <c r="I44" s="134">
        <f>I7</f>
        <v>44986</v>
      </c>
      <c r="J44" s="134">
        <f>J7</f>
        <v>45352</v>
      </c>
      <c r="K44" s="134">
        <f>K7</f>
        <v>45717</v>
      </c>
    </row>
    <row r="46" spans="1:11" x14ac:dyDescent="0.3">
      <c r="B46" s="122" t="s">
        <v>292</v>
      </c>
      <c r="C46" s="122"/>
      <c r="D46" s="122"/>
      <c r="E46" s="122"/>
      <c r="F46" s="122"/>
      <c r="G46" s="145">
        <f>-SUM('Cash Flow Data'!J16:J17)</f>
        <v>261</v>
      </c>
      <c r="H46" s="145">
        <f>-SUM('Cash Flow Data'!K16:K17)</f>
        <v>511</v>
      </c>
      <c r="I46" s="145">
        <f>-SUM('Cash Flow Data'!L16:L17)</f>
        <v>1420</v>
      </c>
      <c r="J46" s="145">
        <f>-SUM('Cash Flow Data'!M16:M17)</f>
        <v>2491</v>
      </c>
      <c r="K46" s="145">
        <f>-SUM('Cash Flow Data'!N16:N17)</f>
        <v>1820</v>
      </c>
    </row>
    <row r="47" spans="1:11" x14ac:dyDescent="0.3">
      <c r="B47" s="122" t="s">
        <v>296</v>
      </c>
      <c r="C47" s="122"/>
      <c r="D47" s="122"/>
      <c r="E47" s="122"/>
      <c r="F47" s="122"/>
      <c r="G47" s="145"/>
      <c r="H47" s="145">
        <f>H22-G22</f>
        <v>2795</v>
      </c>
      <c r="I47" s="145">
        <f>I22-H22</f>
        <v>755</v>
      </c>
      <c r="J47" s="145">
        <f>J22-I22</f>
        <v>-102</v>
      </c>
      <c r="K47" s="145">
        <f>K22-J22</f>
        <v>-14</v>
      </c>
    </row>
    <row r="48" spans="1:11" x14ac:dyDescent="0.3">
      <c r="B48" s="122"/>
      <c r="C48" s="122"/>
      <c r="D48" s="122"/>
      <c r="E48" s="122"/>
      <c r="F48" s="122"/>
      <c r="G48" s="122"/>
      <c r="H48" s="122"/>
      <c r="I48" s="122"/>
      <c r="J48" s="122"/>
      <c r="K48" s="122"/>
    </row>
    <row r="49" spans="1:11" x14ac:dyDescent="0.3">
      <c r="B49" s="122" t="s">
        <v>289</v>
      </c>
      <c r="C49" s="122"/>
      <c r="D49" s="122"/>
      <c r="E49" s="122"/>
      <c r="F49" s="122"/>
      <c r="G49" s="145">
        <f>G39</f>
        <v>4064.3300000000031</v>
      </c>
      <c r="H49" s="145">
        <f>H39</f>
        <v>3987.2499999999986</v>
      </c>
      <c r="I49" s="145">
        <f>I39</f>
        <v>5401.8199999999952</v>
      </c>
      <c r="J49" s="145">
        <f>J39</f>
        <v>6731.9800000000014</v>
      </c>
      <c r="K49" s="145">
        <f>K39</f>
        <v>4979.8700000000026</v>
      </c>
    </row>
    <row r="50" spans="1:11" x14ac:dyDescent="0.3">
      <c r="B50" s="122" t="s">
        <v>297</v>
      </c>
      <c r="C50" s="122"/>
      <c r="D50" s="122"/>
      <c r="E50" s="122"/>
      <c r="F50" s="122"/>
      <c r="G50" s="162">
        <v>0.25</v>
      </c>
      <c r="H50" s="162">
        <v>0.25</v>
      </c>
      <c r="I50" s="162">
        <v>0.25</v>
      </c>
      <c r="J50" s="162">
        <v>0.25</v>
      </c>
      <c r="K50" s="162">
        <v>0.25</v>
      </c>
    </row>
    <row r="51" spans="1:11" x14ac:dyDescent="0.3">
      <c r="B51" s="122" t="s">
        <v>300</v>
      </c>
      <c r="C51" s="122"/>
      <c r="D51" s="122"/>
      <c r="E51" s="122"/>
      <c r="F51" s="122"/>
      <c r="G51" s="152">
        <f>G49*(1-G50)</f>
        <v>3048.2475000000022</v>
      </c>
      <c r="H51" s="152">
        <f>H49*(1-H50)</f>
        <v>2990.4374999999991</v>
      </c>
      <c r="I51" s="152">
        <f>I49*(1-I50)</f>
        <v>4051.3649999999961</v>
      </c>
      <c r="J51" s="152">
        <f>J49*(1-J50)</f>
        <v>5048.9850000000006</v>
      </c>
      <c r="K51" s="152">
        <f>K49*(1-K50)</f>
        <v>3734.902500000002</v>
      </c>
    </row>
    <row r="52" spans="1:11" x14ac:dyDescent="0.3">
      <c r="B52" s="122"/>
      <c r="C52" s="122"/>
      <c r="D52" s="122"/>
      <c r="E52" s="122"/>
      <c r="F52" s="122"/>
      <c r="G52" s="145"/>
      <c r="H52" s="145"/>
      <c r="I52" s="145"/>
      <c r="J52" s="145"/>
      <c r="K52" s="145"/>
    </row>
    <row r="53" spans="1:11" x14ac:dyDescent="0.3">
      <c r="B53" s="122" t="s">
        <v>298</v>
      </c>
      <c r="C53" s="122"/>
      <c r="D53" s="122"/>
      <c r="E53" s="122"/>
      <c r="F53" s="122"/>
      <c r="G53" s="122"/>
      <c r="H53" s="145">
        <f>SUM(H46:H47)</f>
        <v>3306</v>
      </c>
      <c r="I53" s="145">
        <f>SUM(I46:I47)</f>
        <v>2175</v>
      </c>
      <c r="J53" s="145">
        <f>SUM(J46:J47)</f>
        <v>2389</v>
      </c>
      <c r="K53" s="145">
        <f>SUM(K46:K47)</f>
        <v>1806</v>
      </c>
    </row>
    <row r="54" spans="1:11" ht="3.6" customHeight="1" x14ac:dyDescent="0.3"/>
    <row r="55" spans="1:11" ht="15" thickBot="1" x14ac:dyDescent="0.35">
      <c r="B55" s="138" t="s">
        <v>299</v>
      </c>
      <c r="C55" s="138"/>
      <c r="D55" s="138"/>
      <c r="E55" s="138"/>
      <c r="F55" s="138"/>
      <c r="G55" s="138"/>
      <c r="H55" s="140">
        <f>H53/H51</f>
        <v>1.1055238572951285</v>
      </c>
      <c r="I55" s="140">
        <f>I53/I51</f>
        <v>0.53685609664890777</v>
      </c>
      <c r="J55" s="140">
        <f>J53/J51</f>
        <v>0.4731644082919636</v>
      </c>
      <c r="K55" s="140">
        <f>K53/K51</f>
        <v>0.48354675925275131</v>
      </c>
    </row>
    <row r="56" spans="1:11" x14ac:dyDescent="0.3">
      <c r="H56" s="54"/>
      <c r="I56" s="54"/>
      <c r="J56" s="54"/>
      <c r="K56" s="54"/>
    </row>
    <row r="57" spans="1:11" x14ac:dyDescent="0.3">
      <c r="J57" s="116" t="s">
        <v>301</v>
      </c>
      <c r="K57" s="117">
        <f>AVERAGE(H55:K55)</f>
        <v>0.64977278037218777</v>
      </c>
    </row>
    <row r="58" spans="1:11" x14ac:dyDescent="0.3">
      <c r="J58" s="116" t="s">
        <v>302</v>
      </c>
      <c r="K58" s="117">
        <f>MEDIAN(H55:K55)</f>
        <v>0.51020142795082957</v>
      </c>
    </row>
    <row r="60" spans="1:11" x14ac:dyDescent="0.3">
      <c r="A60" s="85" t="s">
        <v>58</v>
      </c>
      <c r="B60" s="11" t="s">
        <v>303</v>
      </c>
      <c r="C60" s="61"/>
      <c r="D60" s="61"/>
      <c r="E60" s="61"/>
      <c r="F60" s="61"/>
      <c r="G60" s="134">
        <f>G44</f>
        <v>44256</v>
      </c>
      <c r="H60" s="134">
        <f>H44</f>
        <v>44621</v>
      </c>
      <c r="I60" s="134">
        <f>I44</f>
        <v>44986</v>
      </c>
      <c r="J60" s="134">
        <f>J44</f>
        <v>45352</v>
      </c>
      <c r="K60" s="134">
        <f>K44</f>
        <v>45717</v>
      </c>
    </row>
    <row r="62" spans="1:11" x14ac:dyDescent="0.3">
      <c r="B62" s="122" t="s">
        <v>299</v>
      </c>
      <c r="C62" s="122"/>
      <c r="D62" s="122"/>
      <c r="E62" s="122"/>
      <c r="F62" s="122"/>
      <c r="G62" s="122"/>
      <c r="H62" s="153">
        <f>H55</f>
        <v>1.1055238572951285</v>
      </c>
      <c r="I62" s="153">
        <f>I55</f>
        <v>0.53685609664890777</v>
      </c>
      <c r="J62" s="153">
        <f>J55</f>
        <v>0.4731644082919636</v>
      </c>
      <c r="K62" s="153">
        <f>K55</f>
        <v>0.48354675925275131</v>
      </c>
    </row>
    <row r="63" spans="1:11" x14ac:dyDescent="0.3">
      <c r="B63" s="122" t="s">
        <v>290</v>
      </c>
      <c r="C63" s="122"/>
      <c r="D63" s="122"/>
      <c r="E63" s="122"/>
      <c r="F63" s="122"/>
      <c r="G63" s="122"/>
      <c r="H63" s="153">
        <f>H41</f>
        <v>0.35451676002489541</v>
      </c>
      <c r="I63" s="153">
        <f>I41</f>
        <v>0.44082095642239227</v>
      </c>
      <c r="J63" s="153">
        <f>J41</f>
        <v>0.49759627466922918</v>
      </c>
      <c r="K63" s="153">
        <f>K41</f>
        <v>0.31946818065178362</v>
      </c>
    </row>
    <row r="64" spans="1:11" ht="3.6" customHeight="1" x14ac:dyDescent="0.3"/>
    <row r="65" spans="2:11" ht="15" thickBot="1" x14ac:dyDescent="0.35">
      <c r="B65" s="138" t="s">
        <v>304</v>
      </c>
      <c r="C65" s="138"/>
      <c r="D65" s="138"/>
      <c r="E65" s="138"/>
      <c r="F65" s="138"/>
      <c r="G65" s="138"/>
      <c r="H65" s="154">
        <f>H62*H63</f>
        <v>0.39192673601849376</v>
      </c>
      <c r="I65" s="154">
        <f>I62*I63</f>
        <v>0.23665741798596379</v>
      </c>
      <c r="J65" s="154">
        <f>J62*J63</f>
        <v>0.23544484687215123</v>
      </c>
      <c r="K65" s="154">
        <f>K62*K63</f>
        <v>0.15447780343854248</v>
      </c>
    </row>
    <row r="67" spans="2:11" x14ac:dyDescent="0.3">
      <c r="J67" s="116" t="s">
        <v>301</v>
      </c>
      <c r="K67" s="117">
        <f>AVERAGE(H65:K65)</f>
        <v>0.25462670107878782</v>
      </c>
    </row>
    <row r="68" spans="2:11" x14ac:dyDescent="0.3">
      <c r="J68" s="116" t="s">
        <v>302</v>
      </c>
      <c r="K68" s="117">
        <f>MEDIAN(H65:K65)</f>
        <v>0.23605113242905751</v>
      </c>
    </row>
  </sheetData>
  <mergeCells count="1">
    <mergeCell ref="B2:K4"/>
  </mergeCells>
  <printOptions gridLines="1"/>
  <pageMargins left="0.7" right="0.7" top="0.75" bottom="0.75" header="0.3" footer="0.3"/>
  <pageSetup orientation="portrait" r:id="rId1"/>
  <ignoredErrors>
    <ignoredError sqref="G46:K46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556F5-D5F3-4CC6-9FFF-EA0708DADEB4}">
  <sheetPr>
    <tabColor rgb="FF002060"/>
    <pageSetUpPr fitToPage="1"/>
  </sheetPr>
  <dimension ref="B2:Q40"/>
  <sheetViews>
    <sheetView showGridLines="0" topLeftCell="H15" zoomScale="106" workbookViewId="0">
      <selection activeCell="B7" sqref="B7"/>
    </sheetView>
  </sheetViews>
  <sheetFormatPr defaultRowHeight="14.4" x14ac:dyDescent="0.3"/>
  <cols>
    <col min="1" max="1" width="1.88671875" customWidth="1"/>
    <col min="2" max="2" width="30.88671875" bestFit="1" customWidth="1"/>
    <col min="4" max="4" width="9.33203125" customWidth="1"/>
    <col min="5" max="5" width="14.6640625" customWidth="1"/>
    <col min="6" max="6" width="10.5546875" customWidth="1"/>
    <col min="7" max="7" width="11.109375" customWidth="1"/>
    <col min="8" max="8" width="11.21875" customWidth="1"/>
    <col min="9" max="9" width="7.109375" customWidth="1"/>
    <col min="10" max="10" width="1.88671875" customWidth="1"/>
    <col min="11" max="11" width="9.5546875" customWidth="1"/>
    <col min="12" max="12" width="13" customWidth="1"/>
    <col min="13" max="13" width="12.109375" customWidth="1"/>
    <col min="14" max="14" width="1.88671875" customWidth="1"/>
    <col min="15" max="15" width="11.5546875" customWidth="1"/>
    <col min="16" max="16" width="12.77734375" customWidth="1"/>
    <col min="17" max="17" width="12" bestFit="1" customWidth="1"/>
  </cols>
  <sheetData>
    <row r="2" spans="2:17" x14ac:dyDescent="0.3"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</row>
    <row r="3" spans="2:17" ht="21" x14ac:dyDescent="0.4">
      <c r="B3" s="214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</row>
    <row r="4" spans="2:17" ht="14.4" customHeight="1" x14ac:dyDescent="0.3">
      <c r="B4" s="247" t="s">
        <v>405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</row>
    <row r="5" spans="2:17" ht="15" customHeight="1" x14ac:dyDescent="0.3">
      <c r="B5" s="247"/>
      <c r="C5" s="215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</row>
    <row r="6" spans="2:17" x14ac:dyDescent="0.3"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</row>
    <row r="7" spans="2:17" x14ac:dyDescent="0.3">
      <c r="B7" s="85" t="s">
        <v>360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</row>
    <row r="8" spans="2:17" x14ac:dyDescent="0.3">
      <c r="B8" s="60" t="s">
        <v>361</v>
      </c>
      <c r="C8" s="216"/>
      <c r="D8" s="216"/>
      <c r="E8" s="216"/>
      <c r="F8" s="216"/>
      <c r="G8" s="216"/>
      <c r="H8" s="216"/>
      <c r="I8" s="216"/>
      <c r="J8" s="216"/>
      <c r="K8" s="216"/>
      <c r="L8" s="71"/>
      <c r="M8" s="71"/>
      <c r="N8" s="71"/>
      <c r="O8" s="71"/>
      <c r="P8" s="71"/>
      <c r="Q8" s="71"/>
    </row>
    <row r="9" spans="2:17" x14ac:dyDescent="0.3"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spans="2:17" x14ac:dyDescent="0.3">
      <c r="B10" s="61"/>
      <c r="C10" s="61"/>
      <c r="D10" s="248" t="s">
        <v>362</v>
      </c>
      <c r="E10" s="249"/>
      <c r="F10" s="249"/>
      <c r="G10" s="249"/>
      <c r="H10" s="249"/>
      <c r="I10" s="249"/>
      <c r="J10" s="61"/>
      <c r="K10" s="248" t="s">
        <v>363</v>
      </c>
      <c r="L10" s="248"/>
      <c r="M10" s="248"/>
      <c r="N10" s="61"/>
      <c r="O10" s="248" t="s">
        <v>364</v>
      </c>
      <c r="P10" s="249"/>
      <c r="Q10" s="249"/>
    </row>
    <row r="11" spans="2:17" ht="28.8" x14ac:dyDescent="0.3">
      <c r="B11" s="11" t="s">
        <v>365</v>
      </c>
      <c r="C11" s="11" t="s">
        <v>366</v>
      </c>
      <c r="D11" s="217" t="s">
        <v>367</v>
      </c>
      <c r="E11" s="217" t="s">
        <v>368</v>
      </c>
      <c r="F11" s="217" t="s">
        <v>369</v>
      </c>
      <c r="G11" s="218" t="s">
        <v>370</v>
      </c>
      <c r="H11" s="217" t="s">
        <v>371</v>
      </c>
      <c r="I11" s="218"/>
      <c r="J11" s="218"/>
      <c r="K11" s="218" t="s">
        <v>372</v>
      </c>
      <c r="L11" s="218" t="s">
        <v>65</v>
      </c>
      <c r="M11" s="218" t="s">
        <v>373</v>
      </c>
      <c r="N11" s="218"/>
      <c r="O11" s="218" t="s">
        <v>374</v>
      </c>
      <c r="P11" s="218" t="s">
        <v>375</v>
      </c>
      <c r="Q11" s="218" t="s">
        <v>376</v>
      </c>
    </row>
    <row r="12" spans="2:17" ht="3.6" customHeight="1" x14ac:dyDescent="0.3">
      <c r="D12" s="199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</row>
    <row r="13" spans="2:17" x14ac:dyDescent="0.3">
      <c r="B13" s="220" t="str">
        <f>DATA!B4</f>
        <v xml:space="preserve">Asian Paints </v>
      </c>
      <c r="C13" s="220"/>
      <c r="D13" s="222">
        <f>DATA!C4</f>
        <v>2485.1</v>
      </c>
      <c r="E13" s="224">
        <f>DATA!D4</f>
        <v>95.92</v>
      </c>
      <c r="F13" s="222">
        <f>D13*E13</f>
        <v>238370.79199999999</v>
      </c>
      <c r="G13" s="222">
        <f>DATA!F4-DATA!H4</f>
        <v>2546.42</v>
      </c>
      <c r="H13" s="222">
        <f>DATA!K4</f>
        <v>240917.21199999997</v>
      </c>
      <c r="I13" s="222"/>
      <c r="J13" s="222"/>
      <c r="K13" s="222">
        <f>DATA!G4</f>
        <v>34695.75</v>
      </c>
      <c r="L13" s="222">
        <f>DATA!L4</f>
        <v>7163.7589057389223</v>
      </c>
      <c r="M13" s="222">
        <f>DATA!I4</f>
        <v>3910.03</v>
      </c>
      <c r="N13" s="222"/>
      <c r="O13" s="226">
        <f>H13/K13</f>
        <v>6.943709589791256</v>
      </c>
      <c r="P13" s="226">
        <f>H13/L13</f>
        <v>33.630000000000003</v>
      </c>
      <c r="Q13" s="226">
        <f>F13/M13</f>
        <v>60.963929177013981</v>
      </c>
    </row>
    <row r="14" spans="2:17" x14ac:dyDescent="0.3">
      <c r="B14" s="122" t="str">
        <f>DATA!B5</f>
        <v xml:space="preserve">Berger Paints </v>
      </c>
      <c r="C14" s="122"/>
      <c r="D14" s="223">
        <f>DATA!C5</f>
        <v>460.4</v>
      </c>
      <c r="E14" s="225">
        <f>DATA!D5</f>
        <v>116.6</v>
      </c>
      <c r="F14" s="223">
        <f t="shared" ref="F14:F21" si="0">D14*E14</f>
        <v>53682.639999999992</v>
      </c>
      <c r="G14" s="223">
        <f>DATA!F5-DATA!H5</f>
        <v>247.50000000000006</v>
      </c>
      <c r="H14" s="223">
        <f>DATA!K5</f>
        <v>53930.139999999992</v>
      </c>
      <c r="I14" s="223"/>
      <c r="J14" s="223"/>
      <c r="K14" s="223">
        <f>DATA!G5</f>
        <v>11716.25</v>
      </c>
      <c r="L14" s="223">
        <f>DATA!L5</f>
        <v>1930.2125984251966</v>
      </c>
      <c r="M14" s="223">
        <f>DATA!I5</f>
        <v>1055.68</v>
      </c>
      <c r="N14" s="223"/>
      <c r="O14" s="227">
        <f t="shared" ref="O14:O21" si="1">H14/K14</f>
        <v>4.6030205910594253</v>
      </c>
      <c r="P14" s="227">
        <f t="shared" ref="P14:P21" si="2">H14/L14</f>
        <v>27.94</v>
      </c>
      <c r="Q14" s="227">
        <f t="shared" ref="Q14:Q21" si="3">F14/M14</f>
        <v>50.85124280084873</v>
      </c>
    </row>
    <row r="15" spans="2:17" x14ac:dyDescent="0.3">
      <c r="B15" s="122" t="str">
        <f>DATA!B6</f>
        <v xml:space="preserve">Kansai Nerolac </v>
      </c>
      <c r="C15" s="122"/>
      <c r="D15" s="223">
        <f>DATA!C6</f>
        <v>197.15</v>
      </c>
      <c r="E15" s="225">
        <f>DATA!D6</f>
        <v>80.87</v>
      </c>
      <c r="F15" s="223">
        <f t="shared" si="0"/>
        <v>15943.520500000001</v>
      </c>
      <c r="G15" s="223">
        <f>DATA!F6-DATA!H6</f>
        <v>9.1100000000000136</v>
      </c>
      <c r="H15" s="223">
        <f>DATA!K6</f>
        <v>15952.630500000001</v>
      </c>
      <c r="I15" s="223"/>
      <c r="J15" s="223"/>
      <c r="K15" s="223">
        <f>DATA!G6</f>
        <v>7914.85</v>
      </c>
      <c r="L15" s="223">
        <f>DATA!L6</f>
        <v>1076.4258097165991</v>
      </c>
      <c r="M15" s="223">
        <f>DATA!I6</f>
        <v>568.38</v>
      </c>
      <c r="N15" s="223"/>
      <c r="O15" s="227">
        <f t="shared" si="1"/>
        <v>2.0155316272576234</v>
      </c>
      <c r="P15" s="227">
        <f t="shared" si="2"/>
        <v>14.820000000000002</v>
      </c>
      <c r="Q15" s="227">
        <f t="shared" si="3"/>
        <v>28.050811956789474</v>
      </c>
    </row>
    <row r="16" spans="2:17" x14ac:dyDescent="0.3">
      <c r="B16" s="122" t="str">
        <f>DATA!B7</f>
        <v xml:space="preserve">JSW Dulux </v>
      </c>
      <c r="C16" s="122"/>
      <c r="D16" s="223">
        <f>DATA!C7</f>
        <v>2947.8</v>
      </c>
      <c r="E16" s="225">
        <f>DATA!D7</f>
        <v>4.55</v>
      </c>
      <c r="F16" s="223">
        <f t="shared" si="0"/>
        <v>13412.49</v>
      </c>
      <c r="G16" s="223">
        <f>DATA!F7-DATA!H7</f>
        <v>-202.8</v>
      </c>
      <c r="H16" s="223">
        <f>DATA!K7</f>
        <v>13209.69</v>
      </c>
      <c r="I16" s="223"/>
      <c r="J16" s="223"/>
      <c r="K16" s="223">
        <f>DATA!G7</f>
        <v>3759.8</v>
      </c>
      <c r="L16" s="223">
        <f>DATA!L7</f>
        <v>574.0847457627118</v>
      </c>
      <c r="M16" s="223">
        <f>DATA!I7</f>
        <v>1955.3</v>
      </c>
      <c r="N16" s="223"/>
      <c r="O16" s="227">
        <f t="shared" si="1"/>
        <v>3.5134023086334381</v>
      </c>
      <c r="P16" s="227">
        <f t="shared" si="2"/>
        <v>23.01</v>
      </c>
      <c r="Q16" s="227">
        <f t="shared" si="3"/>
        <v>6.8595560783511482</v>
      </c>
    </row>
    <row r="17" spans="2:17" x14ac:dyDescent="0.3">
      <c r="B17" s="122" t="str">
        <f>DATA!B8</f>
        <v xml:space="preserve">Indigo Paints </v>
      </c>
      <c r="C17" s="122"/>
      <c r="D17" s="223">
        <f>DATA!C8</f>
        <v>860.05</v>
      </c>
      <c r="E17" s="225">
        <f>DATA!D8</f>
        <v>4.7699999999999996</v>
      </c>
      <c r="F17" s="223">
        <f t="shared" si="0"/>
        <v>4102.4384999999993</v>
      </c>
      <c r="G17" s="223">
        <f>DATA!F8-DATA!H8</f>
        <v>8.5500000000000007</v>
      </c>
      <c r="H17" s="223">
        <f>DATA!K8</f>
        <v>4110.9884999999995</v>
      </c>
      <c r="I17" s="223"/>
      <c r="J17" s="223"/>
      <c r="K17" s="223">
        <f>DATA!G8</f>
        <v>1299.42</v>
      </c>
      <c r="L17" s="223">
        <f>DATA!L8</f>
        <v>259.04149338374287</v>
      </c>
      <c r="M17" s="223">
        <f>DATA!I8</f>
        <v>144.94999999999999</v>
      </c>
      <c r="N17" s="223"/>
      <c r="O17" s="227">
        <f t="shared" si="1"/>
        <v>3.1637103476935859</v>
      </c>
      <c r="P17" s="227">
        <f t="shared" si="2"/>
        <v>15.870000000000001</v>
      </c>
      <c r="Q17" s="227">
        <f t="shared" si="3"/>
        <v>28.302438771990339</v>
      </c>
    </row>
    <row r="18" spans="2:17" x14ac:dyDescent="0.3">
      <c r="B18" s="122" t="str">
        <f>DATA!B9</f>
        <v xml:space="preserve">Sirca Paints </v>
      </c>
      <c r="C18" s="122"/>
      <c r="D18" s="223">
        <f>DATA!C9</f>
        <v>437.3</v>
      </c>
      <c r="E18" s="225">
        <f>DATA!D9</f>
        <v>5.68</v>
      </c>
      <c r="F18" s="223">
        <f t="shared" si="0"/>
        <v>2483.864</v>
      </c>
      <c r="G18" s="223">
        <f>DATA!F9-DATA!H9</f>
        <v>-7.6200000000000045</v>
      </c>
      <c r="H18" s="223">
        <f>DATA!K9</f>
        <v>2476.2439999999997</v>
      </c>
      <c r="I18" s="223"/>
      <c r="J18" s="223"/>
      <c r="K18" s="223">
        <f>DATA!G9</f>
        <v>459.12</v>
      </c>
      <c r="L18" s="223">
        <f>DATA!L9</f>
        <v>95.570976456966406</v>
      </c>
      <c r="M18" s="223">
        <f>DATA!I9</f>
        <v>61.5</v>
      </c>
      <c r="N18" s="223"/>
      <c r="O18" s="227">
        <f t="shared" si="1"/>
        <v>5.3934570482662476</v>
      </c>
      <c r="P18" s="227">
        <f t="shared" si="2"/>
        <v>25.91</v>
      </c>
      <c r="Q18" s="227">
        <f t="shared" si="3"/>
        <v>40.388032520325204</v>
      </c>
    </row>
    <row r="19" spans="2:17" x14ac:dyDescent="0.3">
      <c r="B19" s="122" t="str">
        <f>DATA!B10</f>
        <v xml:space="preserve">Shalimar Paints </v>
      </c>
      <c r="C19" s="122"/>
      <c r="D19" s="223">
        <f>DATA!C10</f>
        <v>50.1</v>
      </c>
      <c r="E19" s="225">
        <f>DATA!D10</f>
        <v>8.3699999999999992</v>
      </c>
      <c r="F19" s="223">
        <f t="shared" si="0"/>
        <v>419.33699999999999</v>
      </c>
      <c r="G19" s="223">
        <f>DATA!F10-DATA!H10</f>
        <v>141.53</v>
      </c>
      <c r="H19" s="223">
        <f>DATA!K10</f>
        <v>560.86699999999996</v>
      </c>
      <c r="I19" s="223"/>
      <c r="J19" s="223"/>
      <c r="K19" s="223">
        <f>DATA!G10</f>
        <v>597.53</v>
      </c>
      <c r="L19" s="223">
        <f>DATA!L10</f>
        <v>-19.413880235375562</v>
      </c>
      <c r="M19" s="223">
        <f>DATA!I10</f>
        <v>-67.08</v>
      </c>
      <c r="N19" s="223"/>
      <c r="O19" s="227">
        <f t="shared" si="1"/>
        <v>0.93864241125968573</v>
      </c>
      <c r="P19" s="227">
        <f t="shared" si="2"/>
        <v>-28.89</v>
      </c>
      <c r="Q19" s="227">
        <f t="shared" si="3"/>
        <v>-6.2512969588550984</v>
      </c>
    </row>
    <row r="20" spans="2:17" x14ac:dyDescent="0.3">
      <c r="B20" s="122" t="str">
        <f>DATA!B11</f>
        <v xml:space="preserve">Kamdhenu Venture </v>
      </c>
      <c r="C20" s="122"/>
      <c r="D20" s="223">
        <f>DATA!C11</f>
        <v>5.62</v>
      </c>
      <c r="E20" s="225">
        <f>DATA!D11</f>
        <v>32.9</v>
      </c>
      <c r="F20" s="223">
        <f t="shared" si="0"/>
        <v>184.898</v>
      </c>
      <c r="G20" s="223">
        <f>DATA!F11-DATA!H11</f>
        <v>25.47</v>
      </c>
      <c r="H20" s="223">
        <f>DATA!K11</f>
        <v>210.36799999999999</v>
      </c>
      <c r="I20" s="223"/>
      <c r="J20" s="223"/>
      <c r="K20" s="223">
        <f>DATA!G11</f>
        <v>253.02</v>
      </c>
      <c r="L20" s="223">
        <f>DATA!L11</f>
        <v>16.244633204633207</v>
      </c>
      <c r="M20" s="223">
        <f>DATA!I11</f>
        <v>4.76</v>
      </c>
      <c r="N20" s="223"/>
      <c r="O20" s="227">
        <f t="shared" si="1"/>
        <v>0.83142834558532919</v>
      </c>
      <c r="P20" s="227">
        <f t="shared" si="2"/>
        <v>12.949999999999998</v>
      </c>
      <c r="Q20" s="227">
        <f t="shared" si="3"/>
        <v>38.844117647058823</v>
      </c>
    </row>
    <row r="21" spans="2:17" x14ac:dyDescent="0.3">
      <c r="B21" s="122" t="str">
        <f>DATA!B12</f>
        <v xml:space="preserve">Siddhika Coatins </v>
      </c>
      <c r="C21" s="122"/>
      <c r="D21" s="223">
        <f>DATA!C12</f>
        <v>221.95</v>
      </c>
      <c r="E21" s="225">
        <f>DATA!D12</f>
        <v>0.62</v>
      </c>
      <c r="F21" s="223">
        <f t="shared" si="0"/>
        <v>137.60899999999998</v>
      </c>
      <c r="G21" s="223">
        <f>DATA!F12-DATA!H12</f>
        <v>-5.9</v>
      </c>
      <c r="H21" s="223">
        <f>DATA!K12</f>
        <v>131.70899999999997</v>
      </c>
      <c r="I21" s="223"/>
      <c r="J21" s="223"/>
      <c r="K21" s="223">
        <f>DATA!G12</f>
        <v>51.6</v>
      </c>
      <c r="L21" s="223">
        <f>DATA!L12</f>
        <v>11.854995499549954</v>
      </c>
      <c r="M21" s="223">
        <f>DATA!I12</f>
        <v>8.5399999999999991</v>
      </c>
      <c r="N21" s="223"/>
      <c r="O21" s="227">
        <f t="shared" si="1"/>
        <v>2.5524999999999993</v>
      </c>
      <c r="P21" s="227">
        <f t="shared" si="2"/>
        <v>11.11</v>
      </c>
      <c r="Q21" s="227">
        <f t="shared" si="3"/>
        <v>16.113466042154567</v>
      </c>
    </row>
    <row r="22" spans="2:17" ht="3.6" customHeight="1" x14ac:dyDescent="0.3">
      <c r="K22" s="219"/>
      <c r="O22" s="34"/>
      <c r="P22" s="34"/>
      <c r="Q22" s="34"/>
    </row>
    <row r="23" spans="2:17" x14ac:dyDescent="0.3">
      <c r="B23" s="220" t="s">
        <v>395</v>
      </c>
      <c r="C23" s="220"/>
      <c r="D23" s="220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8">
        <f>MAX(O13:O21)</f>
        <v>6.943709589791256</v>
      </c>
      <c r="P23" s="228">
        <f>MAX(P13:P21)</f>
        <v>33.630000000000003</v>
      </c>
      <c r="Q23" s="228">
        <f>MAX(Q13:Q21)</f>
        <v>60.963929177013981</v>
      </c>
    </row>
    <row r="24" spans="2:17" x14ac:dyDescent="0.3">
      <c r="B24" s="220" t="s">
        <v>396</v>
      </c>
      <c r="C24" s="220"/>
      <c r="D24" s="220"/>
      <c r="E24" s="220"/>
      <c r="F24" s="220"/>
      <c r="G24" s="220"/>
      <c r="H24" s="220"/>
      <c r="I24" s="220"/>
      <c r="J24" s="220"/>
      <c r="K24" s="220"/>
      <c r="L24" s="220"/>
      <c r="M24" s="220"/>
      <c r="N24" s="220"/>
      <c r="O24" s="228">
        <f>QUARTILE(O13:O21,3)</f>
        <v>4.6030205910594253</v>
      </c>
      <c r="P24" s="228">
        <f>QUARTILE(P13:P21,3)</f>
        <v>25.91</v>
      </c>
      <c r="Q24" s="228">
        <f>QUARTILE(Q13:Q21,3)</f>
        <v>40.388032520325204</v>
      </c>
    </row>
    <row r="25" spans="2:17" x14ac:dyDescent="0.3">
      <c r="B25" s="221" t="s">
        <v>217</v>
      </c>
      <c r="C25" s="221"/>
      <c r="D25" s="221"/>
      <c r="E25" s="221"/>
      <c r="F25" s="221"/>
      <c r="G25" s="221"/>
      <c r="H25" s="221"/>
      <c r="I25" s="221"/>
      <c r="J25" s="221"/>
      <c r="K25" s="221"/>
      <c r="L25" s="221"/>
      <c r="M25" s="221"/>
      <c r="N25" s="221"/>
      <c r="O25" s="229">
        <f>AVERAGE(O13:O21)</f>
        <v>3.3283780299496213</v>
      </c>
      <c r="P25" s="229">
        <f>AVERAGE(P13:P21)</f>
        <v>15.150000000000002</v>
      </c>
      <c r="Q25" s="229">
        <f>AVERAGE(Q13:Q21)</f>
        <v>29.346922003964135</v>
      </c>
    </row>
    <row r="26" spans="2:17" x14ac:dyDescent="0.3">
      <c r="B26" s="221" t="s">
        <v>218</v>
      </c>
      <c r="C26" s="221"/>
      <c r="D26" s="221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9">
        <f>MEDIAN(O13:O21)</f>
        <v>3.1637103476935859</v>
      </c>
      <c r="P26" s="229">
        <f>MEDIAN(P13:P21)</f>
        <v>15.870000000000001</v>
      </c>
      <c r="Q26" s="229">
        <f>MEDIAN(Q13:Q21)</f>
        <v>28.302438771990339</v>
      </c>
    </row>
    <row r="27" spans="2:17" x14ac:dyDescent="0.3">
      <c r="B27" s="220" t="s">
        <v>397</v>
      </c>
      <c r="C27" s="220"/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20"/>
      <c r="O27" s="228">
        <f>QUARTILE(O13:O21,1)</f>
        <v>2.0155316272576234</v>
      </c>
      <c r="P27" s="228">
        <f>QUARTILE(P13:P21,1)</f>
        <v>12.949999999999998</v>
      </c>
      <c r="Q27" s="228">
        <f>QUARTILE(Q13:Q21,1)</f>
        <v>16.113466042154567</v>
      </c>
    </row>
    <row r="28" spans="2:17" x14ac:dyDescent="0.3">
      <c r="B28" s="220" t="s">
        <v>398</v>
      </c>
      <c r="C28" s="220"/>
      <c r="D28" s="220"/>
      <c r="E28" s="220"/>
      <c r="F28" s="220"/>
      <c r="G28" s="220"/>
      <c r="H28" s="220"/>
      <c r="I28" s="220"/>
      <c r="J28" s="220"/>
      <c r="K28" s="220"/>
      <c r="L28" s="220"/>
      <c r="M28" s="220"/>
      <c r="N28" s="220"/>
      <c r="O28" s="228">
        <f>MIN(O13:O21)</f>
        <v>0.83142834558532919</v>
      </c>
      <c r="P28" s="228">
        <f>MIN(P13:P21)</f>
        <v>-28.89</v>
      </c>
      <c r="Q28" s="228">
        <f>MIN(Q13:Q21)</f>
        <v>-6.2512969588550984</v>
      </c>
    </row>
    <row r="30" spans="2:17" x14ac:dyDescent="0.3">
      <c r="B30" s="11" t="s">
        <v>399</v>
      </c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218" t="s">
        <v>374</v>
      </c>
      <c r="P30" s="218" t="s">
        <v>375</v>
      </c>
      <c r="Q30" s="218" t="s">
        <v>376</v>
      </c>
    </row>
    <row r="31" spans="2:17" ht="3.6" customHeight="1" x14ac:dyDescent="0.3"/>
    <row r="32" spans="2:17" x14ac:dyDescent="0.3">
      <c r="B32" s="122" t="s">
        <v>400</v>
      </c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222">
        <f>O$26*K13</f>
        <v>109767.30329598974</v>
      </c>
      <c r="P32" s="222">
        <f>P$26*L13</f>
        <v>113688.8538340767</v>
      </c>
      <c r="Q32" s="231">
        <f>+Q33+Q34</f>
        <v>113209.80467164538</v>
      </c>
    </row>
    <row r="33" spans="2:17" x14ac:dyDescent="0.3">
      <c r="B33" s="122" t="s">
        <v>370</v>
      </c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231">
        <f>$G$13</f>
        <v>2546.42</v>
      </c>
      <c r="P33" s="231">
        <f>$G$13</f>
        <v>2546.42</v>
      </c>
      <c r="Q33" s="231">
        <f>$G$13</f>
        <v>2546.42</v>
      </c>
    </row>
    <row r="34" spans="2:17" x14ac:dyDescent="0.3">
      <c r="B34" s="122" t="s">
        <v>401</v>
      </c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231">
        <f>O32-O33</f>
        <v>107220.88329598974</v>
      </c>
      <c r="P34" s="231">
        <f>P32-P33</f>
        <v>111142.4338340767</v>
      </c>
      <c r="Q34" s="122">
        <f>M13*Q26</f>
        <v>110663.38467164538</v>
      </c>
    </row>
    <row r="35" spans="2:17" x14ac:dyDescent="0.3">
      <c r="B35" s="122" t="s">
        <v>402</v>
      </c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>
        <f>$E$13</f>
        <v>95.92</v>
      </c>
      <c r="P35" s="122">
        <f>$E$13</f>
        <v>95.92</v>
      </c>
      <c r="Q35" s="122">
        <f>$E$13</f>
        <v>95.92</v>
      </c>
    </row>
    <row r="36" spans="2:17" ht="3" customHeight="1" x14ac:dyDescent="0.3"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</row>
    <row r="37" spans="2:17" x14ac:dyDescent="0.3">
      <c r="B37" s="230" t="s">
        <v>403</v>
      </c>
      <c r="C37" s="230"/>
      <c r="D37" s="230"/>
      <c r="E37" s="230"/>
      <c r="F37" s="230"/>
      <c r="G37" s="230"/>
      <c r="H37" s="230"/>
      <c r="I37" s="230"/>
      <c r="J37" s="230"/>
      <c r="K37" s="230"/>
      <c r="L37" s="230"/>
      <c r="M37" s="230"/>
      <c r="N37" s="230"/>
      <c r="O37" s="232">
        <f>O34/O35</f>
        <v>1117.8157140949722</v>
      </c>
      <c r="P37" s="232">
        <f>P34/P35</f>
        <v>1158.6992684953784</v>
      </c>
      <c r="Q37" s="232">
        <f>Q34/Q35</f>
        <v>1153.7050111722829</v>
      </c>
    </row>
    <row r="38" spans="2:17" ht="3.6" customHeight="1" x14ac:dyDescent="0.3"/>
    <row r="39" spans="2:17" x14ac:dyDescent="0.3">
      <c r="B39" s="85" t="s">
        <v>404</v>
      </c>
    </row>
    <row r="40" spans="2:17" x14ac:dyDescent="0.3">
      <c r="O40" t="str">
        <f>IF(O37&gt;$D$13,"Undervalued","Overvalued")</f>
        <v>Overvalued</v>
      </c>
      <c r="P40" t="str">
        <f>IF(P37&gt;$D$13,"Undervalued","Overvalued")</f>
        <v>Overvalued</v>
      </c>
      <c r="Q40" t="str">
        <f>IF(Q37&gt;$D$13,"Undervalued","Overvalued")</f>
        <v>Overvalued</v>
      </c>
    </row>
  </sheetData>
  <mergeCells count="4">
    <mergeCell ref="B4:B5"/>
    <mergeCell ref="D10:I10"/>
    <mergeCell ref="K10:M10"/>
    <mergeCell ref="O10:Q10"/>
  </mergeCells>
  <pageMargins left="0.7" right="0.7" top="0.75" bottom="0.75" header="0.3" footer="0.3"/>
  <pageSetup scale="67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0C79D-CEB1-4014-A4FC-F5C6FF41B66F}">
  <dimension ref="B2:Q13"/>
  <sheetViews>
    <sheetView showGridLines="0" topLeftCell="F2" workbookViewId="0">
      <selection activeCell="B2" sqref="B2"/>
    </sheetView>
  </sheetViews>
  <sheetFormatPr defaultRowHeight="14.4" x14ac:dyDescent="0.3"/>
  <cols>
    <col min="1" max="1" width="1.88671875" customWidth="1"/>
    <col min="14" max="17" width="12" bestFit="1" customWidth="1"/>
  </cols>
  <sheetData>
    <row r="2" spans="2:17" x14ac:dyDescent="0.3"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</row>
    <row r="3" spans="2:17" x14ac:dyDescent="0.3"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</row>
    <row r="4" spans="2:17" x14ac:dyDescent="0.3"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</row>
    <row r="5" spans="2:17" x14ac:dyDescent="0.3"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</row>
    <row r="7" spans="2:17" x14ac:dyDescent="0.3">
      <c r="L7" s="11" t="s">
        <v>406</v>
      </c>
      <c r="M7" s="61"/>
      <c r="N7" s="61"/>
      <c r="O7" s="61"/>
      <c r="P7" s="61"/>
      <c r="Q7" s="61"/>
    </row>
    <row r="8" spans="2:17" x14ac:dyDescent="0.3">
      <c r="N8" s="199" t="s">
        <v>412</v>
      </c>
      <c r="O8" s="199" t="s">
        <v>398</v>
      </c>
      <c r="P8" s="199" t="s">
        <v>413</v>
      </c>
      <c r="Q8" s="199" t="s">
        <v>395</v>
      </c>
    </row>
    <row r="9" spans="2:17" x14ac:dyDescent="0.3">
      <c r="L9" s="65" t="s">
        <v>407</v>
      </c>
      <c r="N9" s="169">
        <f>O9</f>
        <v>1117.8157140949722</v>
      </c>
      <c r="O9" s="169">
        <f>'Comparable Valuation'!O37</f>
        <v>1117.8157140949722</v>
      </c>
      <c r="P9" s="169">
        <f>Q9</f>
        <v>1158.6992684953784</v>
      </c>
      <c r="Q9" s="169">
        <f>'Comparable Valuation'!P37</f>
        <v>1158.6992684953784</v>
      </c>
    </row>
    <row r="10" spans="2:17" x14ac:dyDescent="0.3">
      <c r="L10" s="65" t="s">
        <v>408</v>
      </c>
      <c r="N10" s="169">
        <f>O10</f>
        <v>91221.242562394182</v>
      </c>
      <c r="O10" s="169">
        <f>DCF!L34</f>
        <v>91221.242562394182</v>
      </c>
      <c r="P10" s="169">
        <f>Q10</f>
        <v>106614.98800165886</v>
      </c>
      <c r="Q10" s="169">
        <f>DCF!L38</f>
        <v>106614.98800165886</v>
      </c>
    </row>
    <row r="11" spans="2:17" x14ac:dyDescent="0.3">
      <c r="L11" s="65" t="s">
        <v>409</v>
      </c>
      <c r="N11" s="169">
        <f>O11</f>
        <v>96231.041373989196</v>
      </c>
      <c r="O11" s="169">
        <f>DCF!K34</f>
        <v>96231.041373989196</v>
      </c>
      <c r="P11" s="169">
        <f>Q11</f>
        <v>113924.24842605792</v>
      </c>
      <c r="Q11" s="169">
        <f>DCF!K38</f>
        <v>113924.24842605792</v>
      </c>
    </row>
    <row r="12" spans="2:17" x14ac:dyDescent="0.3">
      <c r="L12" s="65" t="s">
        <v>410</v>
      </c>
      <c r="N12" s="169">
        <f>O12</f>
        <v>113212.30747562944</v>
      </c>
      <c r="O12" s="169">
        <f>DCF!H34</f>
        <v>113212.30747562944</v>
      </c>
      <c r="P12" s="169">
        <f>Q12</f>
        <v>140201.34168732728</v>
      </c>
      <c r="Q12" s="169">
        <f>DCF!H38</f>
        <v>140201.34168732728</v>
      </c>
    </row>
    <row r="13" spans="2:17" x14ac:dyDescent="0.3">
      <c r="L13" s="65" t="s">
        <v>411</v>
      </c>
      <c r="N13" s="169">
        <f>O13</f>
        <v>2115</v>
      </c>
      <c r="O13" s="233">
        <v>2115</v>
      </c>
      <c r="P13" s="169">
        <f>Q13</f>
        <v>2985.7</v>
      </c>
      <c r="Q13" s="233">
        <v>2985.7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B30C9-4C60-42CD-AC57-10E8E67502C3}">
  <dimension ref="B2:X45"/>
  <sheetViews>
    <sheetView showGridLines="0" tabSelected="1" zoomScale="99" zoomScaleNormal="99" workbookViewId="0">
      <selection activeCell="H23" sqref="H23"/>
    </sheetView>
  </sheetViews>
  <sheetFormatPr defaultRowHeight="14.4" outlineLevelRow="1" x14ac:dyDescent="0.3"/>
  <cols>
    <col min="1" max="1" width="1.88671875" customWidth="1"/>
    <col min="5" max="5" width="13.109375" bestFit="1" customWidth="1"/>
    <col min="7" max="7" width="10" bestFit="1" customWidth="1"/>
    <col min="8" max="8" width="10" customWidth="1"/>
    <col min="9" max="9" width="10.33203125" customWidth="1"/>
    <col min="10" max="11" width="9.88671875" customWidth="1"/>
    <col min="12" max="12" width="8.33203125" customWidth="1"/>
    <col min="13" max="13" width="8.77734375" customWidth="1"/>
  </cols>
  <sheetData>
    <row r="2" spans="2:24" x14ac:dyDescent="0.3">
      <c r="B2" s="235" t="str">
        <f>"DCF Vatuation - "&amp;'Data Sheet'!B1</f>
        <v>DCF Vatuation - ASIAN PAINTS LTD</v>
      </c>
      <c r="C2" s="235"/>
      <c r="D2" s="235"/>
      <c r="E2" s="235"/>
      <c r="F2" s="235"/>
      <c r="G2" s="235"/>
      <c r="H2" s="235"/>
      <c r="I2" s="235"/>
      <c r="J2" s="235"/>
      <c r="K2" s="235"/>
    </row>
    <row r="3" spans="2:24" ht="14.4" customHeight="1" x14ac:dyDescent="0.3">
      <c r="B3" s="235"/>
      <c r="C3" s="235"/>
      <c r="D3" s="235"/>
      <c r="E3" s="235"/>
      <c r="F3" s="235"/>
      <c r="G3" s="235"/>
      <c r="H3" s="235"/>
      <c r="I3" s="235"/>
      <c r="J3" s="235"/>
      <c r="K3" s="235"/>
    </row>
    <row r="4" spans="2:24" x14ac:dyDescent="0.3">
      <c r="B4" s="235"/>
      <c r="C4" s="235"/>
      <c r="D4" s="235"/>
      <c r="E4" s="235"/>
      <c r="F4" s="235"/>
      <c r="G4" s="235"/>
      <c r="H4" s="235"/>
      <c r="I4" s="235"/>
      <c r="J4" s="235"/>
      <c r="K4" s="235"/>
    </row>
    <row r="7" spans="2:24" x14ac:dyDescent="0.3">
      <c r="B7" s="11" t="s">
        <v>305</v>
      </c>
      <c r="C7" s="61"/>
      <c r="D7" s="61"/>
      <c r="E7" s="61"/>
      <c r="F7" s="155">
        <f>'Raw FS'!N2</f>
        <v>45717</v>
      </c>
      <c r="G7" s="156">
        <f>F7+366</f>
        <v>46083</v>
      </c>
      <c r="H7" s="156">
        <f>G7+366</f>
        <v>46449</v>
      </c>
      <c r="I7" s="156">
        <f>H7+366</f>
        <v>46815</v>
      </c>
      <c r="J7" s="156">
        <f>I7+366</f>
        <v>47181</v>
      </c>
      <c r="K7" s="156">
        <f>J7+366</f>
        <v>47547</v>
      </c>
      <c r="M7" s="11" t="s">
        <v>334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9" spans="2:24" x14ac:dyDescent="0.3">
      <c r="B9" s="122" t="s">
        <v>289</v>
      </c>
      <c r="C9" s="122"/>
      <c r="D9" s="122"/>
      <c r="E9" s="122"/>
      <c r="F9" s="172">
        <f>'Data Sheet'!K33-'Data Sheet'!K26</f>
        <v>5287.6100000000006</v>
      </c>
      <c r="G9" s="172">
        <f>F9*(1+$E$19)</f>
        <v>6535.7563283432091</v>
      </c>
      <c r="H9" s="172">
        <f>G9*(1+$E$19)</f>
        <v>8078.5290109290027</v>
      </c>
      <c r="I9" s="172">
        <f>H9*(1+$E$19)</f>
        <v>9985.4749323197884</v>
      </c>
      <c r="J9" s="172">
        <f>I9*(1+$E$19)</f>
        <v>12342.55759793584</v>
      </c>
      <c r="K9" s="172">
        <f>J9*(1+$E$19)</f>
        <v>15256.032295999463</v>
      </c>
      <c r="M9" s="174">
        <f>E35</f>
        <v>81037.156489446483</v>
      </c>
      <c r="N9" s="176">
        <v>0.11</v>
      </c>
      <c r="O9" s="176">
        <v>0.115</v>
      </c>
      <c r="P9" s="176">
        <v>0.12</v>
      </c>
      <c r="Q9" s="176">
        <v>0.12520000000000001</v>
      </c>
      <c r="R9" s="176">
        <v>0.1305</v>
      </c>
      <c r="S9" s="176">
        <v>0.13950000000000001</v>
      </c>
      <c r="T9" s="176">
        <v>0.14149999999999999</v>
      </c>
      <c r="U9" s="176">
        <v>0.14499999999999999</v>
      </c>
      <c r="V9" s="176">
        <v>0.15</v>
      </c>
      <c r="W9" s="176">
        <v>0.15690000000000001</v>
      </c>
      <c r="X9" s="176">
        <v>0.15</v>
      </c>
    </row>
    <row r="10" spans="2:24" x14ac:dyDescent="0.3">
      <c r="B10" s="122" t="s">
        <v>223</v>
      </c>
      <c r="C10" s="122"/>
      <c r="D10" s="122"/>
      <c r="E10" s="122"/>
      <c r="F10" s="160">
        <v>0.25</v>
      </c>
      <c r="G10" s="153">
        <f>F10</f>
        <v>0.25</v>
      </c>
      <c r="H10" s="153">
        <f>G10</f>
        <v>0.25</v>
      </c>
      <c r="I10" s="153">
        <f>H10</f>
        <v>0.25</v>
      </c>
      <c r="J10" s="153">
        <f>I10</f>
        <v>0.25</v>
      </c>
      <c r="K10" s="153">
        <f>J10</f>
        <v>0.25</v>
      </c>
      <c r="M10" s="175">
        <v>0.04</v>
      </c>
      <c r="N10" s="169">
        <f t="dataTable" ref="N10:X16" dt2D="1" dtr="1" r1="E26" r2="E27"/>
        <v>112025.02375656924</v>
      </c>
      <c r="O10" s="169">
        <v>105427.70428259866</v>
      </c>
      <c r="P10" s="169">
        <v>99655.049742874427</v>
      </c>
      <c r="Q10" s="169">
        <v>94370.225164253614</v>
      </c>
      <c r="R10" s="169">
        <v>89608.717256613963</v>
      </c>
      <c r="S10" s="169">
        <v>82685.1858949413</v>
      </c>
      <c r="T10" s="169">
        <v>81313.364136361401</v>
      </c>
      <c r="U10" s="169">
        <v>79038.426386716368</v>
      </c>
      <c r="V10" s="169">
        <v>76039.644807638833</v>
      </c>
      <c r="W10" s="169">
        <v>72322.592191656484</v>
      </c>
      <c r="X10" s="169">
        <v>76039.644807638833</v>
      </c>
    </row>
    <row r="11" spans="2:24" x14ac:dyDescent="0.3">
      <c r="B11" s="122" t="s">
        <v>306</v>
      </c>
      <c r="C11" s="122"/>
      <c r="D11" s="122"/>
      <c r="E11" s="122"/>
      <c r="F11" s="169">
        <f t="shared" ref="F11:K11" si="0">F9*(1-F10)</f>
        <v>3965.7075000000004</v>
      </c>
      <c r="G11" s="169">
        <f t="shared" si="0"/>
        <v>4901.8172462574066</v>
      </c>
      <c r="H11" s="169">
        <f t="shared" si="0"/>
        <v>6058.8967581967518</v>
      </c>
      <c r="I11" s="169">
        <f t="shared" si="0"/>
        <v>7489.1061992398409</v>
      </c>
      <c r="J11" s="169">
        <f t="shared" si="0"/>
        <v>9256.91819845188</v>
      </c>
      <c r="K11" s="169">
        <f t="shared" si="0"/>
        <v>11442.024221999596</v>
      </c>
      <c r="M11" s="175">
        <v>4.4999999999999998E-2</v>
      </c>
      <c r="N11" s="169">
        <v>119637.31545730452</v>
      </c>
      <c r="O11" s="169">
        <v>112025.02375656924</v>
      </c>
      <c r="P11" s="169">
        <v>105427.70428259867</v>
      </c>
      <c r="Q11" s="169">
        <v>99439.115034405913</v>
      </c>
      <c r="R11" s="169">
        <v>94084.944485245738</v>
      </c>
      <c r="S11" s="169">
        <v>86368.781357794767</v>
      </c>
      <c r="T11" s="169">
        <v>84849.53680420341</v>
      </c>
      <c r="U11" s="169">
        <v>82337.086123701651</v>
      </c>
      <c r="V11" s="169">
        <v>79038.426386716368</v>
      </c>
      <c r="W11" s="169">
        <v>74970.374164160763</v>
      </c>
      <c r="X11" s="169">
        <v>79038.426386716368</v>
      </c>
    </row>
    <row r="12" spans="2:24" x14ac:dyDescent="0.3">
      <c r="B12" s="122" t="s">
        <v>307</v>
      </c>
      <c r="C12" s="122"/>
      <c r="D12" s="122"/>
      <c r="E12" s="122"/>
      <c r="F12" s="161">
        <f>'Intrisic Growth'!K55</f>
        <v>0.48354675925275131</v>
      </c>
      <c r="G12" s="153">
        <f>F12+(($K$12-F12))/4</f>
        <v>0.49021042642727086</v>
      </c>
      <c r="H12" s="153">
        <f>G12+(($K$12-G12))/4</f>
        <v>0.49520817680816054</v>
      </c>
      <c r="I12" s="153">
        <f>H12+(($K$12-H12))/4</f>
        <v>0.49895648959382777</v>
      </c>
      <c r="J12" s="153">
        <f>I12+(($K$12-I12))/4</f>
        <v>0.50176772418307825</v>
      </c>
      <c r="K12" s="191">
        <f>'Intrisic Growth'!K58</f>
        <v>0.51020142795082957</v>
      </c>
      <c r="M12" s="175">
        <v>0.05</v>
      </c>
      <c r="N12" s="169">
        <v>128518.32244149569</v>
      </c>
      <c r="O12" s="169">
        <v>119637.31545730452</v>
      </c>
      <c r="P12" s="169">
        <v>112025.02375656925</v>
      </c>
      <c r="Q12" s="169">
        <v>105182.05940856785</v>
      </c>
      <c r="R12" s="169">
        <v>99117.224785757237</v>
      </c>
      <c r="S12" s="169">
        <v>90463.951732698915</v>
      </c>
      <c r="T12" s="169">
        <v>88772.17643027952</v>
      </c>
      <c r="U12" s="169">
        <v>85982.973201422239</v>
      </c>
      <c r="V12" s="169">
        <v>82337.086123701651</v>
      </c>
      <c r="W12" s="169">
        <v>77865.843879649547</v>
      </c>
      <c r="X12" s="169">
        <v>82337.086123701651</v>
      </c>
    </row>
    <row r="13" spans="2:24" x14ac:dyDescent="0.3">
      <c r="B13" s="122" t="s">
        <v>308</v>
      </c>
      <c r="C13" s="122"/>
      <c r="D13" s="122"/>
      <c r="E13" s="122"/>
      <c r="F13" s="169">
        <f t="shared" ref="F13:K13" si="1">F11*(1-F12)</f>
        <v>2048.1024902306699</v>
      </c>
      <c r="G13" s="169">
        <f t="shared" si="1"/>
        <v>2498.8953237010128</v>
      </c>
      <c r="H13" s="169">
        <f t="shared" si="1"/>
        <v>3058.4815411012642</v>
      </c>
      <c r="I13" s="169">
        <f t="shared" si="1"/>
        <v>3752.368059871756</v>
      </c>
      <c r="J13" s="169">
        <f t="shared" si="1"/>
        <v>4612.0954210657592</v>
      </c>
      <c r="K13" s="169">
        <f t="shared" si="1"/>
        <v>5604.2871252874229</v>
      </c>
      <c r="M13" s="175">
        <v>5.5E-2</v>
      </c>
      <c r="N13" s="169">
        <v>139014.05796826707</v>
      </c>
      <c r="O13" s="169">
        <v>128518.32244149568</v>
      </c>
      <c r="P13" s="169">
        <v>119637.31545730452</v>
      </c>
      <c r="Q13" s="169">
        <v>111743.08702691237</v>
      </c>
      <c r="R13" s="169">
        <v>104816.03227838947</v>
      </c>
      <c r="S13" s="169">
        <v>95043.757654928981</v>
      </c>
      <c r="T13" s="169">
        <v>93148.300406191003</v>
      </c>
      <c r="U13" s="169">
        <v>90033.958843333996</v>
      </c>
      <c r="V13" s="169">
        <v>85982.973201422225</v>
      </c>
      <c r="W13" s="192">
        <v>81045.461751712297</v>
      </c>
      <c r="X13" s="169">
        <v>85982.973201422225</v>
      </c>
    </row>
    <row r="14" spans="2:24" x14ac:dyDescent="0.3">
      <c r="B14" s="122" t="s">
        <v>310</v>
      </c>
      <c r="C14" s="122"/>
      <c r="D14" s="122"/>
      <c r="E14" s="122"/>
      <c r="F14" s="159"/>
      <c r="G14" s="122">
        <v>0.5</v>
      </c>
      <c r="H14" s="122">
        <f>G14+1</f>
        <v>1.5</v>
      </c>
      <c r="I14" s="122">
        <f>H14+1</f>
        <v>2.5</v>
      </c>
      <c r="J14" s="122">
        <f>I14+1</f>
        <v>3.5</v>
      </c>
      <c r="K14" s="122">
        <f>J14+1</f>
        <v>4.5</v>
      </c>
      <c r="M14" s="175">
        <v>0.06</v>
      </c>
      <c r="N14" s="169">
        <v>151608.94060039267</v>
      </c>
      <c r="O14" s="169">
        <v>139014.05796826704</v>
      </c>
      <c r="P14" s="169">
        <v>128518.32244149569</v>
      </c>
      <c r="Q14" s="169">
        <v>119310.4072247576</v>
      </c>
      <c r="R14" s="169">
        <v>111323.18125933832</v>
      </c>
      <c r="S14" s="169">
        <v>100199.63979379178</v>
      </c>
      <c r="T14" s="169">
        <v>98061.372109208212</v>
      </c>
      <c r="U14" s="169">
        <v>94561.531031353021</v>
      </c>
      <c r="V14" s="169">
        <v>90033.958843333996</v>
      </c>
      <c r="W14" s="169">
        <v>84553.21356310042</v>
      </c>
      <c r="X14" s="169">
        <v>90033.958843333996</v>
      </c>
    </row>
    <row r="15" spans="2:24" x14ac:dyDescent="0.3">
      <c r="B15" s="122" t="s">
        <v>311</v>
      </c>
      <c r="C15" s="122"/>
      <c r="D15" s="122"/>
      <c r="E15" s="122"/>
      <c r="F15" s="159"/>
      <c r="G15" s="163">
        <f>1/(1+$E$21)^G14</f>
        <v>0.92971481712764581</v>
      </c>
      <c r="H15" s="163">
        <f>1/(1+$E$21)^H14</f>
        <v>0.80361726288657409</v>
      </c>
      <c r="I15" s="163">
        <f>1/(1+$E$21)^I14</f>
        <v>0.69462236517269937</v>
      </c>
      <c r="J15" s="163">
        <f>1/(1+$E$21)^J14</f>
        <v>0.60041048454457735</v>
      </c>
      <c r="K15" s="163">
        <f>1/(1+$E$21)^K14</f>
        <v>0.51897659509052418</v>
      </c>
      <c r="M15" s="175">
        <v>6.5000000000000002E-2</v>
      </c>
      <c r="N15" s="169">
        <v>167002.68603965739</v>
      </c>
      <c r="O15" s="169">
        <v>151608.94060039267</v>
      </c>
      <c r="P15" s="169">
        <v>139014.05796826707</v>
      </c>
      <c r="Q15" s="169">
        <v>128134.75735579971</v>
      </c>
      <c r="R15" s="169">
        <v>118823.78809997403</v>
      </c>
      <c r="S15" s="169">
        <v>106047.58664928045</v>
      </c>
      <c r="T15" s="169">
        <v>103616.67540739107</v>
      </c>
      <c r="U15" s="169">
        <v>99655.049742874427</v>
      </c>
      <c r="V15" s="169">
        <v>94561.531031353021</v>
      </c>
      <c r="W15" s="169">
        <v>88442.657628176035</v>
      </c>
      <c r="X15" s="169">
        <v>94561.531031353021</v>
      </c>
    </row>
    <row r="16" spans="2:24" ht="3.6" customHeight="1" x14ac:dyDescent="0.3">
      <c r="F16" s="158"/>
      <c r="M16" s="175">
        <v>7.0000000000000007E-2</v>
      </c>
      <c r="N16" s="169">
        <v>186244.86783873825</v>
      </c>
      <c r="O16" s="169">
        <v>167002.68603965739</v>
      </c>
      <c r="P16" s="169">
        <v>151608.94060039273</v>
      </c>
      <c r="Q16" s="169">
        <v>138557.72164101613</v>
      </c>
      <c r="R16" s="169">
        <v>127564.16466633466</v>
      </c>
      <c r="S16" s="169">
        <v>112736.96470699772</v>
      </c>
      <c r="T16" s="169">
        <v>109948.94420182328</v>
      </c>
      <c r="U16" s="169">
        <v>105427.70428259869</v>
      </c>
      <c r="V16" s="169">
        <v>99655.049742874427</v>
      </c>
      <c r="W16" s="169">
        <v>92779.678685780498</v>
      </c>
      <c r="X16" s="169">
        <v>99655.049742874427</v>
      </c>
    </row>
    <row r="17" spans="2:11" ht="15" thickBot="1" x14ac:dyDescent="0.35">
      <c r="B17" s="138" t="s">
        <v>312</v>
      </c>
      <c r="C17" s="138"/>
      <c r="D17" s="138"/>
      <c r="E17" s="138"/>
      <c r="F17" s="138"/>
      <c r="G17" s="171">
        <f>G13*G15</f>
        <v>2323.2600088958166</v>
      </c>
      <c r="H17" s="171">
        <f>H13*H15</f>
        <v>2457.8485646489089</v>
      </c>
      <c r="I17" s="171">
        <f>I13*I15</f>
        <v>2606.4787767466123</v>
      </c>
      <c r="J17" s="171">
        <f>J13*J15</f>
        <v>2769.150446527919</v>
      </c>
      <c r="K17" s="171">
        <f>K13*K15</f>
        <v>2908.4938501913289</v>
      </c>
    </row>
    <row r="19" spans="2:11" outlineLevel="1" x14ac:dyDescent="0.3">
      <c r="B19" s="157" t="s">
        <v>309</v>
      </c>
      <c r="C19" s="157"/>
      <c r="D19" s="157"/>
      <c r="E19" s="58">
        <f>'Intrisic Growth'!K68</f>
        <v>0.23605113242905751</v>
      </c>
    </row>
    <row r="20" spans="2:11" outlineLevel="1" x14ac:dyDescent="0.3">
      <c r="B20" s="157" t="s">
        <v>326</v>
      </c>
      <c r="C20" s="157"/>
      <c r="D20" s="157"/>
      <c r="E20" s="58">
        <v>5.5E-2</v>
      </c>
    </row>
    <row r="21" spans="2:11" outlineLevel="1" x14ac:dyDescent="0.3">
      <c r="B21" s="157" t="s">
        <v>246</v>
      </c>
      <c r="C21" s="157"/>
      <c r="D21" s="157"/>
      <c r="E21" s="164">
        <f>'WACC(Arithmetic)'!J46</f>
        <v>0.15691245082034752</v>
      </c>
    </row>
    <row r="22" spans="2:11" outlineLevel="1" x14ac:dyDescent="0.3"/>
    <row r="23" spans="2:11" x14ac:dyDescent="0.3">
      <c r="B23" s="11" t="s">
        <v>316</v>
      </c>
      <c r="C23" s="61"/>
      <c r="D23" s="61"/>
      <c r="E23" s="61"/>
    </row>
    <row r="25" spans="2:11" x14ac:dyDescent="0.3">
      <c r="B25" t="s">
        <v>313</v>
      </c>
      <c r="E25" s="169">
        <f>K13*(1+E19)</f>
        <v>6927.185447669106</v>
      </c>
    </row>
    <row r="26" spans="2:11" x14ac:dyDescent="0.3">
      <c r="B26" t="s">
        <v>246</v>
      </c>
      <c r="E26" s="17">
        <f>E21</f>
        <v>0.15691245082034752</v>
      </c>
    </row>
    <row r="27" spans="2:11" x14ac:dyDescent="0.3">
      <c r="B27" t="s">
        <v>314</v>
      </c>
      <c r="E27" s="17">
        <f>E20</f>
        <v>5.5E-2</v>
      </c>
    </row>
    <row r="29" spans="2:11" ht="15" thickBot="1" x14ac:dyDescent="0.35">
      <c r="B29" s="138" t="s">
        <v>315</v>
      </c>
      <c r="C29" s="138"/>
      <c r="D29" s="138"/>
      <c r="E29" s="171">
        <f>E25/(E26-E27)</f>
        <v>67971.924842435896</v>
      </c>
    </row>
    <row r="31" spans="2:11" x14ac:dyDescent="0.3">
      <c r="B31" s="11" t="s">
        <v>317</v>
      </c>
      <c r="C31" s="61"/>
      <c r="D31" s="61"/>
      <c r="E31" s="61"/>
    </row>
    <row r="33" spans="2:5" x14ac:dyDescent="0.3">
      <c r="B33" t="s">
        <v>312</v>
      </c>
      <c r="E33" s="169">
        <f>SUM(G17:K17)</f>
        <v>13065.231647010585</v>
      </c>
    </row>
    <row r="34" spans="2:5" x14ac:dyDescent="0.3">
      <c r="B34" t="s">
        <v>315</v>
      </c>
      <c r="E34" s="169">
        <f>E29</f>
        <v>67971.924842435896</v>
      </c>
    </row>
    <row r="35" spans="2:5" x14ac:dyDescent="0.3">
      <c r="B35" s="2" t="s">
        <v>318</v>
      </c>
      <c r="C35" s="2"/>
      <c r="D35" s="2"/>
      <c r="E35" s="170">
        <f>SUM(E33:E34)</f>
        <v>81037.156489446483</v>
      </c>
    </row>
    <row r="36" spans="2:5" x14ac:dyDescent="0.3">
      <c r="E36" s="165"/>
    </row>
    <row r="37" spans="2:5" x14ac:dyDescent="0.3">
      <c r="B37" t="s">
        <v>319</v>
      </c>
      <c r="E37" s="169">
        <f>'Data Sheet'!K69</f>
        <v>781.98</v>
      </c>
    </row>
    <row r="38" spans="2:5" x14ac:dyDescent="0.3">
      <c r="B38" t="s">
        <v>320</v>
      </c>
      <c r="E38" s="169">
        <f>SUM('Raw FS'!N7:N8)</f>
        <v>864</v>
      </c>
    </row>
    <row r="39" spans="2:5" x14ac:dyDescent="0.3">
      <c r="B39" s="2" t="s">
        <v>321</v>
      </c>
      <c r="E39" s="170">
        <f>E35+E37-E38</f>
        <v>80955.136489446479</v>
      </c>
    </row>
    <row r="40" spans="2:5" x14ac:dyDescent="0.3">
      <c r="B40" t="s">
        <v>322</v>
      </c>
      <c r="E40" s="165">
        <f>'Data Sheet'!B6</f>
        <v>95.961576854750021</v>
      </c>
    </row>
    <row r="41" spans="2:5" ht="3.6" customHeight="1" x14ac:dyDescent="0.3">
      <c r="E41" s="165"/>
    </row>
    <row r="42" spans="2:5" ht="15" thickBot="1" x14ac:dyDescent="0.35">
      <c r="B42" s="138" t="s">
        <v>323</v>
      </c>
      <c r="C42" s="138"/>
      <c r="D42" s="138"/>
      <c r="E42" s="173">
        <f>E39/E40</f>
        <v>843.62032328816679</v>
      </c>
    </row>
    <row r="43" spans="2:5" x14ac:dyDescent="0.3">
      <c r="E43" s="165"/>
    </row>
    <row r="44" spans="2:5" x14ac:dyDescent="0.3">
      <c r="B44" s="157" t="s">
        <v>324</v>
      </c>
      <c r="C44" s="157"/>
      <c r="D44" s="157"/>
      <c r="E44" s="192">
        <v>2207</v>
      </c>
    </row>
    <row r="45" spans="2:5" x14ac:dyDescent="0.3">
      <c r="B45" s="157" t="s">
        <v>325</v>
      </c>
      <c r="C45" s="157"/>
      <c r="D45" s="157"/>
      <c r="E45" s="193">
        <f>E44/E42</f>
        <v>2.6161057754011994</v>
      </c>
    </row>
  </sheetData>
  <mergeCells count="1">
    <mergeCell ref="B2:K4"/>
  </mergeCells>
  <pageMargins left="0.45" right="0.7" top="0.75" bottom="0.75" header="0.3" footer="0.3"/>
  <pageSetup orientation="portrait" r:id="rId1"/>
  <ignoredErrors>
    <ignoredError sqref="E38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FF635-65B4-47BA-8A3E-74FE84A02080}">
  <dimension ref="B3:J46"/>
  <sheetViews>
    <sheetView showGridLines="0" topLeftCell="A27" zoomScale="96" zoomScaleNormal="96" workbookViewId="0">
      <selection activeCell="M35" sqref="M35"/>
    </sheetView>
  </sheetViews>
  <sheetFormatPr defaultRowHeight="14.4" x14ac:dyDescent="0.3"/>
  <cols>
    <col min="1" max="1" width="1.88671875" customWidth="1"/>
    <col min="2" max="2" width="21.6640625" customWidth="1"/>
    <col min="3" max="3" width="9.5546875" bestFit="1" customWidth="1"/>
    <col min="4" max="4" width="10" bestFit="1" customWidth="1"/>
    <col min="5" max="5" width="11.109375" bestFit="1" customWidth="1"/>
    <col min="6" max="6" width="9.21875" bestFit="1" customWidth="1"/>
    <col min="7" max="7" width="9.109375" customWidth="1"/>
    <col min="10" max="10" width="9.6640625" bestFit="1" customWidth="1"/>
  </cols>
  <sheetData>
    <row r="3" spans="2:10" ht="14.4" customHeight="1" x14ac:dyDescent="0.3">
      <c r="B3" s="246" t="s">
        <v>246</v>
      </c>
      <c r="C3" s="246"/>
      <c r="D3" s="246"/>
      <c r="E3" s="246"/>
      <c r="F3" s="246"/>
      <c r="G3" s="246"/>
      <c r="H3" s="246"/>
      <c r="I3" s="246"/>
      <c r="J3" s="246"/>
    </row>
    <row r="4" spans="2:10" ht="14.4" customHeight="1" x14ac:dyDescent="0.3">
      <c r="B4" s="246"/>
      <c r="C4" s="246"/>
      <c r="D4" s="246"/>
      <c r="E4" s="246"/>
      <c r="F4" s="246"/>
      <c r="G4" s="246"/>
      <c r="H4" s="246"/>
      <c r="I4" s="246"/>
      <c r="J4" s="246"/>
    </row>
    <row r="5" spans="2:10" ht="14.4" customHeight="1" x14ac:dyDescent="0.3">
      <c r="B5" s="246"/>
      <c r="C5" s="246"/>
      <c r="D5" s="246"/>
      <c r="E5" s="246"/>
      <c r="F5" s="246"/>
      <c r="G5" s="246"/>
      <c r="H5" s="246"/>
      <c r="I5" s="246"/>
      <c r="J5" s="246"/>
    </row>
    <row r="6" spans="2:10" x14ac:dyDescent="0.3">
      <c r="B6" s="71"/>
      <c r="C6" s="71"/>
      <c r="D6" s="71"/>
      <c r="E6" s="71"/>
      <c r="F6" s="71"/>
      <c r="G6" s="71"/>
      <c r="H6" s="71"/>
      <c r="I6" s="71"/>
      <c r="J6" s="71"/>
    </row>
    <row r="7" spans="2:10" x14ac:dyDescent="0.3">
      <c r="B7" s="83" t="s">
        <v>198</v>
      </c>
      <c r="C7" s="83"/>
      <c r="D7" s="83"/>
      <c r="E7" s="84"/>
      <c r="F7" s="84"/>
      <c r="G7" s="84"/>
      <c r="H7" s="84"/>
      <c r="I7" s="84"/>
      <c r="J7" s="84"/>
    </row>
    <row r="8" spans="2:10" x14ac:dyDescent="0.3">
      <c r="B8" s="71"/>
      <c r="C8" s="71"/>
      <c r="D8" s="71"/>
      <c r="E8" s="71"/>
      <c r="F8" s="71"/>
      <c r="G8" s="71"/>
      <c r="H8" s="71"/>
      <c r="I8" s="71"/>
      <c r="J8" s="71"/>
    </row>
    <row r="9" spans="2:10" x14ac:dyDescent="0.3">
      <c r="B9" s="85" t="s">
        <v>199</v>
      </c>
      <c r="C9" s="71"/>
      <c r="D9" s="71"/>
      <c r="E9" s="167"/>
      <c r="F9" s="71"/>
      <c r="G9" s="71"/>
      <c r="H9" s="71"/>
      <c r="I9" s="71"/>
      <c r="J9" s="71"/>
    </row>
    <row r="10" spans="2:10" x14ac:dyDescent="0.3">
      <c r="B10" s="71"/>
      <c r="C10" s="71"/>
      <c r="D10" s="71"/>
      <c r="E10" s="71"/>
      <c r="F10" s="71"/>
      <c r="G10" s="71"/>
      <c r="H10" s="71"/>
      <c r="I10" s="71"/>
      <c r="J10" s="71"/>
    </row>
    <row r="11" spans="2:10" x14ac:dyDescent="0.3">
      <c r="B11" s="2" t="s">
        <v>200</v>
      </c>
      <c r="C11" s="71"/>
      <c r="D11" s="71"/>
      <c r="E11" s="71"/>
      <c r="F11" s="71"/>
      <c r="G11" s="71"/>
      <c r="H11" s="71"/>
      <c r="I11" s="71"/>
      <c r="J11" s="71"/>
    </row>
    <row r="12" spans="2:10" x14ac:dyDescent="0.3">
      <c r="B12" s="86"/>
      <c r="C12" s="86"/>
      <c r="D12" s="86"/>
      <c r="E12" s="86"/>
      <c r="F12" s="86"/>
      <c r="G12" s="87" t="s">
        <v>201</v>
      </c>
      <c r="H12" s="87" t="s">
        <v>202</v>
      </c>
      <c r="I12" s="87" t="s">
        <v>203</v>
      </c>
      <c r="J12" s="87" t="s">
        <v>204</v>
      </c>
    </row>
    <row r="13" spans="2:10" ht="16.2" x14ac:dyDescent="0.3">
      <c r="B13" s="88" t="s">
        <v>205</v>
      </c>
      <c r="C13" s="88" t="s">
        <v>206</v>
      </c>
      <c r="D13" s="89" t="s">
        <v>207</v>
      </c>
      <c r="E13" s="89" t="s">
        <v>208</v>
      </c>
      <c r="F13" s="89" t="s">
        <v>209</v>
      </c>
      <c r="G13" s="89" t="s">
        <v>210</v>
      </c>
      <c r="H13" s="89" t="s">
        <v>211</v>
      </c>
      <c r="I13" s="89" t="s">
        <v>212</v>
      </c>
      <c r="J13" s="89" t="s">
        <v>213</v>
      </c>
    </row>
    <row r="14" spans="2:10" x14ac:dyDescent="0.3">
      <c r="B14" s="71"/>
      <c r="C14" s="71"/>
      <c r="D14" s="71"/>
      <c r="E14" s="71"/>
      <c r="F14" s="90"/>
      <c r="G14" s="71"/>
      <c r="H14" s="71"/>
      <c r="I14" s="71"/>
      <c r="J14" s="71"/>
    </row>
    <row r="15" spans="2:10" x14ac:dyDescent="0.3">
      <c r="B15" s="91" t="s">
        <v>214</v>
      </c>
      <c r="C15" s="91" t="s">
        <v>215</v>
      </c>
      <c r="D15" s="92">
        <v>3557.09</v>
      </c>
      <c r="E15" s="92">
        <v>203411.79</v>
      </c>
      <c r="F15" s="93">
        <v>0.3</v>
      </c>
      <c r="G15" s="94">
        <f>D15/E15</f>
        <v>1.7487137790783907E-2</v>
      </c>
      <c r="H15" s="94">
        <f>D15/(D15+E15)</f>
        <v>1.7186593462746671E-2</v>
      </c>
      <c r="I15" s="95">
        <f>'Beta - Regression'!J17</f>
        <v>1.2350586729057969</v>
      </c>
      <c r="J15" s="95">
        <f>I15/(1+(1-F15)*G15)</f>
        <v>1.220123149756732</v>
      </c>
    </row>
    <row r="16" spans="2:10" x14ac:dyDescent="0.3">
      <c r="B16" s="91" t="s">
        <v>216</v>
      </c>
      <c r="C16" s="91" t="s">
        <v>215</v>
      </c>
      <c r="D16" s="92">
        <v>697.33</v>
      </c>
      <c r="E16" s="92">
        <v>48348.31</v>
      </c>
      <c r="F16" s="93">
        <v>0.3</v>
      </c>
      <c r="G16" s="94">
        <f>D16/E16</f>
        <v>1.4423048085858639E-2</v>
      </c>
      <c r="H16" s="94">
        <f>D16/(D16+E16)</f>
        <v>1.4217981455640094E-2</v>
      </c>
      <c r="I16" s="95">
        <f>'Beta - Comps'!C74</f>
        <v>1.1107726119811296</v>
      </c>
      <c r="J16" s="95">
        <f>I16/(1+(1-F16)*G16)</f>
        <v>1.099670194713275</v>
      </c>
    </row>
    <row r="17" spans="2:10" x14ac:dyDescent="0.3">
      <c r="B17" s="91" t="s">
        <v>335</v>
      </c>
      <c r="C17" s="91" t="s">
        <v>215</v>
      </c>
      <c r="D17" s="92">
        <v>275.42</v>
      </c>
      <c r="E17" s="92">
        <v>13787.62</v>
      </c>
      <c r="F17" s="93">
        <v>0.3</v>
      </c>
      <c r="G17" s="94">
        <f>D17/E17</f>
        <v>1.9975891415632285E-2</v>
      </c>
      <c r="H17" s="94">
        <f>D17/(D17+E17)</f>
        <v>1.958467017088766E-2</v>
      </c>
      <c r="I17" s="95">
        <f>'Beta - Comps'!G74</f>
        <v>0.92242955435486862</v>
      </c>
      <c r="J17" s="95">
        <f>I17/(1+(1-F17)*G17)</f>
        <v>0.90970898087955565</v>
      </c>
    </row>
    <row r="18" spans="2:10" x14ac:dyDescent="0.3">
      <c r="B18" s="91" t="s">
        <v>336</v>
      </c>
      <c r="C18" s="91" t="s">
        <v>215</v>
      </c>
      <c r="D18" s="92">
        <v>17.2</v>
      </c>
      <c r="E18" s="92">
        <v>3484.14</v>
      </c>
      <c r="F18" s="93">
        <v>0.3</v>
      </c>
      <c r="G18" s="94">
        <f>D18/E18</f>
        <v>4.9366558175044633E-3</v>
      </c>
      <c r="H18" s="94">
        <f>D18/(D18+E18)</f>
        <v>4.9124049649562742E-3</v>
      </c>
      <c r="I18" s="95">
        <f>'Beta - Comps'!J74</f>
        <v>1.051396674423547</v>
      </c>
      <c r="J18" s="95">
        <f>I18/(1+(1-F18)*G18)</f>
        <v>1.0477759180665918</v>
      </c>
    </row>
    <row r="19" spans="2:10" x14ac:dyDescent="0.3">
      <c r="B19" s="71"/>
      <c r="C19" s="71"/>
      <c r="D19" s="71"/>
      <c r="E19" s="71"/>
      <c r="F19" s="71"/>
      <c r="G19" s="71"/>
      <c r="H19" s="71"/>
      <c r="I19" s="71"/>
      <c r="J19" s="71"/>
    </row>
    <row r="20" spans="2:10" x14ac:dyDescent="0.3">
      <c r="B20" s="71"/>
      <c r="C20" s="71"/>
      <c r="D20" s="71"/>
      <c r="E20" s="96" t="s">
        <v>217</v>
      </c>
      <c r="F20" s="97">
        <f>AVERAGE(F15:F18)</f>
        <v>0.3</v>
      </c>
      <c r="G20" s="98">
        <f>AVERAGE(G16:G18)</f>
        <v>1.3111865106331796E-2</v>
      </c>
      <c r="H20" s="98">
        <f>AVERAGE(H15:H18)</f>
        <v>1.3975412513557675E-2</v>
      </c>
      <c r="I20" s="99">
        <f>AVERAGE(I16:I18)</f>
        <v>1.028199613586515</v>
      </c>
      <c r="J20" s="99">
        <f>AVERAGE(J16:J18)</f>
        <v>1.0190516978864741</v>
      </c>
    </row>
    <row r="21" spans="2:10" x14ac:dyDescent="0.3">
      <c r="B21" s="71"/>
      <c r="C21" s="71"/>
      <c r="D21" s="71"/>
      <c r="E21" s="100" t="s">
        <v>218</v>
      </c>
      <c r="F21" s="101">
        <f>MEDIAN(F15:F18)</f>
        <v>0.3</v>
      </c>
      <c r="G21" s="102">
        <f>MEDIAN(G15:G18)</f>
        <v>1.5955092938321272E-2</v>
      </c>
      <c r="H21" s="102">
        <f>MEDIAN(H15:H18)</f>
        <v>1.5702287459193384E-2</v>
      </c>
      <c r="I21" s="103">
        <f>MEDIAN(I15:I18)</f>
        <v>1.0810846432023382</v>
      </c>
      <c r="J21" s="118">
        <f>MEDIAN(J15:J18)</f>
        <v>1.0737230563899334</v>
      </c>
    </row>
    <row r="22" spans="2:10" x14ac:dyDescent="0.3">
      <c r="B22" s="71"/>
      <c r="C22" s="71"/>
      <c r="D22" s="71"/>
      <c r="E22" s="71"/>
      <c r="F22" s="71"/>
      <c r="G22" s="71"/>
      <c r="H22" s="71"/>
      <c r="I22" s="71"/>
      <c r="J22" s="71"/>
    </row>
    <row r="23" spans="2:10" x14ac:dyDescent="0.3">
      <c r="B23" s="71"/>
      <c r="C23" s="71"/>
      <c r="D23" s="71"/>
      <c r="E23" s="71"/>
      <c r="F23" s="71"/>
      <c r="G23" s="71"/>
      <c r="H23" s="71"/>
      <c r="I23" s="71"/>
      <c r="J23" s="71"/>
    </row>
    <row r="24" spans="2:10" x14ac:dyDescent="0.3">
      <c r="B24" s="100" t="s">
        <v>219</v>
      </c>
      <c r="C24" s="88"/>
      <c r="D24" s="88"/>
      <c r="E24" s="88"/>
      <c r="F24" s="71"/>
      <c r="G24" s="100" t="s">
        <v>220</v>
      </c>
      <c r="H24" s="88"/>
      <c r="I24" s="88"/>
      <c r="J24" s="88"/>
    </row>
    <row r="25" spans="2:10" x14ac:dyDescent="0.3">
      <c r="B25" s="71"/>
      <c r="C25" s="71"/>
      <c r="D25" s="71"/>
      <c r="E25" s="71"/>
      <c r="F25" s="71"/>
      <c r="G25" s="71"/>
      <c r="H25" s="71"/>
      <c r="I25" s="71"/>
      <c r="J25" s="71"/>
    </row>
    <row r="26" spans="2:10" x14ac:dyDescent="0.3">
      <c r="B26" s="71" t="s">
        <v>221</v>
      </c>
      <c r="C26" s="71"/>
      <c r="D26" s="71"/>
      <c r="E26" s="77">
        <f>227/3557.09</f>
        <v>6.3816209317166556E-2</v>
      </c>
      <c r="F26" s="71"/>
      <c r="G26" s="71" t="s">
        <v>222</v>
      </c>
      <c r="H26" s="71"/>
      <c r="I26" s="71"/>
      <c r="J26" s="104">
        <v>6.8400000000000002E-2</v>
      </c>
    </row>
    <row r="27" spans="2:10" x14ac:dyDescent="0.3">
      <c r="B27" s="71" t="s">
        <v>223</v>
      </c>
      <c r="C27" s="71"/>
      <c r="D27" s="71"/>
      <c r="E27" s="104">
        <f>F15</f>
        <v>0.3</v>
      </c>
      <c r="F27" s="71"/>
      <c r="G27" s="71" t="s">
        <v>224</v>
      </c>
      <c r="H27" s="71"/>
      <c r="I27" s="71"/>
      <c r="J27" s="105">
        <f>'Market Return'!F11-'WACC(Arithmetic)'!J26</f>
        <v>8.3092307692307701E-2</v>
      </c>
    </row>
    <row r="28" spans="2:10" ht="16.2" x14ac:dyDescent="0.3">
      <c r="B28" s="106" t="s">
        <v>225</v>
      </c>
      <c r="C28" s="106"/>
      <c r="D28" s="106"/>
      <c r="E28" s="107">
        <f>E26*(1-E27)</f>
        <v>4.4671346522016583E-2</v>
      </c>
      <c r="F28" s="71"/>
      <c r="G28" s="71" t="s">
        <v>226</v>
      </c>
      <c r="H28" s="71"/>
      <c r="I28" s="71"/>
      <c r="J28" s="74">
        <f>J36</f>
        <v>1.0843759406893339</v>
      </c>
    </row>
    <row r="29" spans="2:10" x14ac:dyDescent="0.3">
      <c r="B29" s="71"/>
      <c r="C29" s="71"/>
      <c r="D29" s="71"/>
      <c r="E29" s="71"/>
      <c r="F29" s="71"/>
      <c r="G29" s="106" t="s">
        <v>220</v>
      </c>
      <c r="H29" s="106"/>
      <c r="I29" s="106"/>
      <c r="J29" s="108">
        <f>J26+J27*J28</f>
        <v>0.15850329931789375</v>
      </c>
    </row>
    <row r="30" spans="2:10" x14ac:dyDescent="0.3">
      <c r="B30" s="71"/>
      <c r="C30" s="71"/>
      <c r="D30" s="71"/>
      <c r="E30" s="71"/>
      <c r="F30" s="71"/>
      <c r="G30" s="71"/>
      <c r="H30" s="71"/>
      <c r="I30" s="71"/>
      <c r="J30" s="71"/>
    </row>
    <row r="31" spans="2:10" x14ac:dyDescent="0.3">
      <c r="B31" s="100" t="s">
        <v>227</v>
      </c>
      <c r="C31" s="88"/>
      <c r="D31" s="88"/>
      <c r="E31" s="88"/>
      <c r="F31" s="71"/>
      <c r="G31" s="100" t="s">
        <v>228</v>
      </c>
      <c r="H31" s="88"/>
      <c r="I31" s="88"/>
      <c r="J31" s="88"/>
    </row>
    <row r="32" spans="2:10" x14ac:dyDescent="0.3">
      <c r="B32" s="71"/>
      <c r="C32" s="71"/>
      <c r="D32" s="71"/>
      <c r="E32" s="71"/>
      <c r="F32" s="71"/>
      <c r="G32" s="71"/>
      <c r="H32" s="71"/>
      <c r="I32" s="71"/>
      <c r="J32" s="71"/>
    </row>
    <row r="33" spans="2:10" x14ac:dyDescent="0.3">
      <c r="B33" s="71"/>
      <c r="C33" s="71"/>
      <c r="D33" s="109" t="s">
        <v>229</v>
      </c>
      <c r="E33" s="109" t="s">
        <v>230</v>
      </c>
      <c r="F33" s="71"/>
      <c r="G33" s="71" t="s">
        <v>231</v>
      </c>
      <c r="H33" s="71"/>
      <c r="I33" s="71"/>
      <c r="J33" s="95">
        <f>J21</f>
        <v>1.0737230563899334</v>
      </c>
    </row>
    <row r="34" spans="2:10" x14ac:dyDescent="0.3">
      <c r="B34" s="71" t="s">
        <v>207</v>
      </c>
      <c r="C34" s="110">
        <f>D15</f>
        <v>3557.09</v>
      </c>
      <c r="D34" s="81">
        <f>C34/C36</f>
        <v>1.7186593462746671E-2</v>
      </c>
      <c r="E34" s="81">
        <f>H20</f>
        <v>1.3975412513557675E-2</v>
      </c>
      <c r="F34" s="71"/>
      <c r="G34" s="71" t="s">
        <v>232</v>
      </c>
      <c r="H34" s="71"/>
      <c r="I34" s="71"/>
      <c r="J34" s="77">
        <f>E38</f>
        <v>1.4173492923927554E-2</v>
      </c>
    </row>
    <row r="35" spans="2:10" x14ac:dyDescent="0.3">
      <c r="B35" s="71" t="s">
        <v>233</v>
      </c>
      <c r="C35" s="110">
        <f>E15</f>
        <v>203411.79</v>
      </c>
      <c r="D35" s="81">
        <f>C35/C36</f>
        <v>0.98281340653725335</v>
      </c>
      <c r="E35" s="77">
        <f>E36-E34</f>
        <v>0.98602458748644228</v>
      </c>
      <c r="F35" s="71"/>
      <c r="G35" s="71" t="s">
        <v>223</v>
      </c>
      <c r="H35" s="71"/>
      <c r="I35" s="71"/>
      <c r="J35" s="77">
        <f>E27</f>
        <v>0.3</v>
      </c>
    </row>
    <row r="36" spans="2:10" x14ac:dyDescent="0.3">
      <c r="B36" s="106" t="s">
        <v>234</v>
      </c>
      <c r="C36" s="111">
        <f>SUM(C34:C35)</f>
        <v>206968.88</v>
      </c>
      <c r="D36" s="108">
        <f>SUM(D34:D35)</f>
        <v>1</v>
      </c>
      <c r="E36" s="107">
        <f>D36</f>
        <v>1</v>
      </c>
      <c r="F36" s="71"/>
      <c r="G36" s="106" t="s">
        <v>228</v>
      </c>
      <c r="H36" s="106"/>
      <c r="I36" s="106"/>
      <c r="J36" s="112">
        <f>J33*(1+(1-J35)*J34)</f>
        <v>1.0843759406893339</v>
      </c>
    </row>
    <row r="37" spans="2:10" x14ac:dyDescent="0.3">
      <c r="B37" s="71"/>
      <c r="C37" s="71"/>
      <c r="D37" s="71"/>
      <c r="E37" s="71"/>
      <c r="F37" s="71"/>
      <c r="G37" s="71"/>
      <c r="H37" s="71"/>
      <c r="I37" s="71"/>
      <c r="J37" s="71"/>
    </row>
    <row r="38" spans="2:10" x14ac:dyDescent="0.3">
      <c r="B38" s="71" t="s">
        <v>235</v>
      </c>
      <c r="C38" s="71"/>
      <c r="D38" s="113">
        <f>D34/D35</f>
        <v>1.7487137790783907E-2</v>
      </c>
      <c r="E38" s="113">
        <f>E34/E35</f>
        <v>1.4173492923927554E-2</v>
      </c>
      <c r="F38" s="71"/>
      <c r="G38" s="100" t="s">
        <v>236</v>
      </c>
      <c r="H38" s="88"/>
      <c r="I38" s="88"/>
      <c r="J38" s="88"/>
    </row>
    <row r="39" spans="2:10" x14ac:dyDescent="0.3">
      <c r="B39" s="71"/>
      <c r="C39" s="71"/>
      <c r="D39" s="114"/>
      <c r="E39" s="114"/>
      <c r="F39" s="71"/>
      <c r="G39" s="71"/>
      <c r="H39" s="71"/>
      <c r="I39" s="71"/>
      <c r="J39" s="71"/>
    </row>
    <row r="40" spans="2:10" x14ac:dyDescent="0.3">
      <c r="B40" s="85" t="s">
        <v>237</v>
      </c>
      <c r="C40" s="71"/>
      <c r="D40" s="71"/>
      <c r="E40" s="71"/>
      <c r="F40" s="71"/>
      <c r="G40" s="71" t="s">
        <v>238</v>
      </c>
      <c r="H40" s="71"/>
      <c r="I40" s="71"/>
      <c r="J40" s="77">
        <f>J29</f>
        <v>0.15850329931789375</v>
      </c>
    </row>
    <row r="41" spans="2:10" x14ac:dyDescent="0.3">
      <c r="B41" s="115" t="s">
        <v>239</v>
      </c>
      <c r="C41" s="115"/>
      <c r="D41" s="115"/>
      <c r="E41" s="115"/>
      <c r="F41" s="71"/>
      <c r="G41" s="71" t="s">
        <v>240</v>
      </c>
      <c r="H41" s="71"/>
      <c r="I41" s="71"/>
      <c r="J41" s="77">
        <f>E35</f>
        <v>0.98602458748644228</v>
      </c>
    </row>
    <row r="42" spans="2:10" x14ac:dyDescent="0.3">
      <c r="B42" s="115" t="s">
        <v>241</v>
      </c>
      <c r="C42" s="115"/>
      <c r="D42" s="115"/>
      <c r="E42" s="115"/>
      <c r="F42" s="71"/>
      <c r="G42" s="71"/>
      <c r="H42" s="71"/>
      <c r="I42" s="71"/>
      <c r="J42" s="71"/>
    </row>
    <row r="43" spans="2:10" x14ac:dyDescent="0.3">
      <c r="B43" s="115" t="s">
        <v>242</v>
      </c>
      <c r="C43" s="115"/>
      <c r="D43" s="115"/>
      <c r="E43" s="115"/>
      <c r="F43" s="71"/>
      <c r="G43" s="71" t="s">
        <v>243</v>
      </c>
      <c r="H43" s="71"/>
      <c r="I43" s="71"/>
      <c r="J43" s="77">
        <f>E28</f>
        <v>4.4671346522016583E-2</v>
      </c>
    </row>
    <row r="44" spans="2:10" x14ac:dyDescent="0.3">
      <c r="B44" s="115" t="s">
        <v>244</v>
      </c>
      <c r="C44" s="115"/>
      <c r="D44" s="115"/>
      <c r="E44" s="115"/>
      <c r="F44" s="71"/>
      <c r="G44" s="71" t="s">
        <v>245</v>
      </c>
      <c r="H44" s="71"/>
      <c r="I44" s="71"/>
      <c r="J44" s="77">
        <f>E34</f>
        <v>1.3975412513557675E-2</v>
      </c>
    </row>
    <row r="45" spans="2:10" x14ac:dyDescent="0.3">
      <c r="B45" s="115" t="s">
        <v>350</v>
      </c>
      <c r="C45" s="115"/>
      <c r="D45" s="115"/>
      <c r="E45" s="115"/>
      <c r="F45" s="71"/>
      <c r="G45" s="71"/>
      <c r="H45" s="71"/>
      <c r="I45" s="71"/>
      <c r="J45" s="71"/>
    </row>
    <row r="46" spans="2:10" x14ac:dyDescent="0.3">
      <c r="B46" s="115" t="s">
        <v>351</v>
      </c>
      <c r="C46" s="71"/>
      <c r="D46" s="71"/>
      <c r="E46" s="71"/>
      <c r="F46" s="71"/>
      <c r="G46" s="116" t="s">
        <v>246</v>
      </c>
      <c r="H46" s="116"/>
      <c r="I46" s="116"/>
      <c r="J46" s="117">
        <f>(J40*J41)+(J43*J44)</f>
        <v>0.15691245082034752</v>
      </c>
    </row>
  </sheetData>
  <mergeCells count="1">
    <mergeCell ref="B3:J5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B16A2-9235-4061-8436-87EEA670149A}">
  <sheetPr>
    <tabColor rgb="FF00206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E813E-499A-47F9-919B-38CA97048235}">
  <dimension ref="B3:N40"/>
  <sheetViews>
    <sheetView showGridLines="0" workbookViewId="0">
      <pane ySplit="3" topLeftCell="A4" activePane="bottomLeft" state="frozen"/>
      <selection pane="bottomLeft" activeCell="K16" sqref="K16"/>
    </sheetView>
  </sheetViews>
  <sheetFormatPr defaultRowHeight="14.4" x14ac:dyDescent="0.3"/>
  <cols>
    <col min="1" max="1" width="1.88671875" customWidth="1"/>
    <col min="2" max="2" width="26.88671875" bestFit="1" customWidth="1"/>
    <col min="7" max="9" width="9.44140625" bestFit="1" customWidth="1"/>
    <col min="11" max="14" width="9.44140625" bestFit="1" customWidth="1"/>
  </cols>
  <sheetData>
    <row r="3" spans="2:14" x14ac:dyDescent="0.3">
      <c r="B3" s="11" t="s">
        <v>156</v>
      </c>
      <c r="C3" s="121">
        <v>41699</v>
      </c>
      <c r="D3" s="121">
        <v>42064</v>
      </c>
      <c r="E3" s="121">
        <v>42430</v>
      </c>
      <c r="F3" s="121">
        <v>42795</v>
      </c>
      <c r="G3" s="121">
        <v>43160</v>
      </c>
      <c r="H3" s="121">
        <v>43525</v>
      </c>
      <c r="I3" s="121">
        <v>43891</v>
      </c>
      <c r="J3" s="121">
        <v>44256</v>
      </c>
      <c r="K3" s="121">
        <v>44621</v>
      </c>
      <c r="L3" s="121">
        <v>44986</v>
      </c>
      <c r="M3" s="121">
        <v>45352</v>
      </c>
      <c r="N3" s="121">
        <v>45717</v>
      </c>
    </row>
    <row r="5" spans="2:14" x14ac:dyDescent="0.3">
      <c r="B5" s="2" t="s">
        <v>110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2:14" x14ac:dyDescent="0.3">
      <c r="B6" t="s">
        <v>85</v>
      </c>
      <c r="C6" s="141">
        <v>2051</v>
      </c>
      <c r="D6" s="141">
        <v>2271</v>
      </c>
      <c r="E6" s="141">
        <v>2848</v>
      </c>
      <c r="F6" s="141">
        <v>3056</v>
      </c>
      <c r="G6" s="141">
        <v>3274</v>
      </c>
      <c r="H6" s="141">
        <v>3861</v>
      </c>
      <c r="I6" s="141">
        <v>4380</v>
      </c>
      <c r="J6" s="141">
        <v>4970</v>
      </c>
      <c r="K6" s="141">
        <v>4957</v>
      </c>
      <c r="L6" s="141">
        <v>6460</v>
      </c>
      <c r="M6" s="141">
        <v>7929</v>
      </c>
      <c r="N6" s="141">
        <v>6390</v>
      </c>
    </row>
    <row r="7" spans="2:14" x14ac:dyDescent="0.3">
      <c r="B7" t="s">
        <v>43</v>
      </c>
      <c r="C7" s="141">
        <v>-254</v>
      </c>
      <c r="D7" s="141">
        <v>-155</v>
      </c>
      <c r="E7" s="141">
        <v>-146</v>
      </c>
      <c r="F7" s="141">
        <v>-475</v>
      </c>
      <c r="G7" s="141">
        <v>-483</v>
      </c>
      <c r="H7" s="141">
        <v>-205</v>
      </c>
      <c r="I7" s="141">
        <v>160</v>
      </c>
      <c r="J7" s="141">
        <v>-1342</v>
      </c>
      <c r="K7" s="141">
        <v>-1326</v>
      </c>
      <c r="L7" s="141">
        <v>-834</v>
      </c>
      <c r="M7" s="141">
        <v>-362</v>
      </c>
      <c r="N7" s="141">
        <v>282</v>
      </c>
    </row>
    <row r="8" spans="2:14" x14ac:dyDescent="0.3">
      <c r="B8" t="s">
        <v>30</v>
      </c>
      <c r="C8" s="141">
        <v>-231</v>
      </c>
      <c r="D8" s="141">
        <v>-144</v>
      </c>
      <c r="E8" s="141">
        <v>202</v>
      </c>
      <c r="F8" s="141">
        <v>-629</v>
      </c>
      <c r="G8" s="141">
        <v>-39</v>
      </c>
      <c r="H8" s="141">
        <v>-492</v>
      </c>
      <c r="I8" s="141">
        <v>-251</v>
      </c>
      <c r="J8" s="141">
        <v>-409</v>
      </c>
      <c r="K8" s="141">
        <v>-2354</v>
      </c>
      <c r="L8" s="141">
        <v>-56</v>
      </c>
      <c r="M8" s="141">
        <v>315</v>
      </c>
      <c r="N8" s="141">
        <v>-805</v>
      </c>
    </row>
    <row r="9" spans="2:14" x14ac:dyDescent="0.3">
      <c r="B9" t="s">
        <v>86</v>
      </c>
      <c r="C9" s="141">
        <v>317</v>
      </c>
      <c r="D9" s="141">
        <v>-151</v>
      </c>
      <c r="E9" s="141">
        <v>142</v>
      </c>
      <c r="F9" s="141">
        <v>501</v>
      </c>
      <c r="G9" s="141">
        <v>442</v>
      </c>
      <c r="H9" s="141">
        <v>287</v>
      </c>
      <c r="I9" s="141">
        <v>-647</v>
      </c>
      <c r="J9" s="141">
        <v>1544</v>
      </c>
      <c r="K9" s="141">
        <v>644</v>
      </c>
      <c r="L9" s="141">
        <v>-539</v>
      </c>
      <c r="M9" s="141">
        <v>269</v>
      </c>
      <c r="N9" s="141">
        <v>-160</v>
      </c>
    </row>
    <row r="10" spans="2:14" x14ac:dyDescent="0.3">
      <c r="B10" t="s">
        <v>87</v>
      </c>
      <c r="C10" s="141">
        <v>0</v>
      </c>
      <c r="D10" s="141">
        <v>0</v>
      </c>
      <c r="E10" s="141">
        <v>0</v>
      </c>
      <c r="F10" s="141">
        <v>0</v>
      </c>
      <c r="G10" s="141">
        <v>0</v>
      </c>
      <c r="H10" s="141">
        <v>0</v>
      </c>
      <c r="I10" s="141">
        <v>0</v>
      </c>
      <c r="J10" s="141">
        <v>0</v>
      </c>
      <c r="K10" s="141">
        <v>242</v>
      </c>
      <c r="L10" s="141">
        <v>657</v>
      </c>
      <c r="M10" s="141">
        <v>-212</v>
      </c>
      <c r="N10" s="141">
        <v>114</v>
      </c>
    </row>
    <row r="11" spans="2:14" x14ac:dyDescent="0.3">
      <c r="B11" t="s">
        <v>88</v>
      </c>
      <c r="C11" s="141">
        <v>-168</v>
      </c>
      <c r="D11" s="141">
        <v>-450</v>
      </c>
      <c r="E11" s="141">
        <v>198</v>
      </c>
      <c r="F11" s="141">
        <v>-603</v>
      </c>
      <c r="G11" s="141">
        <v>-80</v>
      </c>
      <c r="H11" s="141">
        <v>-410</v>
      </c>
      <c r="I11" s="141">
        <v>-737</v>
      </c>
      <c r="J11" s="141">
        <v>-206</v>
      </c>
      <c r="K11" s="141">
        <v>-2795</v>
      </c>
      <c r="L11" s="141">
        <v>-772</v>
      </c>
      <c r="M11" s="141">
        <v>10</v>
      </c>
      <c r="N11" s="141">
        <v>-570</v>
      </c>
    </row>
    <row r="12" spans="2:14" x14ac:dyDescent="0.3">
      <c r="B12" t="s">
        <v>89</v>
      </c>
      <c r="C12" s="16">
        <v>-480</v>
      </c>
      <c r="D12" s="16">
        <v>-633</v>
      </c>
      <c r="E12" s="16">
        <v>-802</v>
      </c>
      <c r="F12" s="16">
        <v>-925</v>
      </c>
      <c r="G12" s="16">
        <v>-1081</v>
      </c>
      <c r="H12" s="16">
        <v>-982</v>
      </c>
      <c r="I12" s="16">
        <v>-1011</v>
      </c>
      <c r="J12" s="16">
        <v>-1080</v>
      </c>
      <c r="K12" s="16">
        <v>-1176</v>
      </c>
      <c r="L12" s="16">
        <v>-1494</v>
      </c>
      <c r="M12" s="16">
        <v>-1835</v>
      </c>
      <c r="N12" s="16">
        <v>-1396</v>
      </c>
    </row>
    <row r="13" spans="2:14" x14ac:dyDescent="0.3">
      <c r="B13" s="142" t="s">
        <v>293</v>
      </c>
      <c r="C13" s="143">
        <f>SUM(C6:C12)</f>
        <v>1235</v>
      </c>
      <c r="D13" s="143">
        <f t="shared" ref="D13:N13" si="0">SUM(D6:D12)</f>
        <v>738</v>
      </c>
      <c r="E13" s="143">
        <f t="shared" si="0"/>
        <v>2442</v>
      </c>
      <c r="F13" s="143">
        <f t="shared" si="0"/>
        <v>925</v>
      </c>
      <c r="G13" s="143">
        <f t="shared" si="0"/>
        <v>2033</v>
      </c>
      <c r="H13" s="143">
        <f t="shared" si="0"/>
        <v>2059</v>
      </c>
      <c r="I13" s="143">
        <f t="shared" si="0"/>
        <v>1894</v>
      </c>
      <c r="J13" s="143">
        <f t="shared" si="0"/>
        <v>3477</v>
      </c>
      <c r="K13" s="143">
        <f t="shared" si="0"/>
        <v>-1808</v>
      </c>
      <c r="L13" s="143">
        <f t="shared" si="0"/>
        <v>3422</v>
      </c>
      <c r="M13" s="143">
        <f t="shared" si="0"/>
        <v>6114</v>
      </c>
      <c r="N13" s="143">
        <f t="shared" si="0"/>
        <v>3855</v>
      </c>
    </row>
    <row r="14" spans="2:14" x14ac:dyDescent="0.3"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</row>
    <row r="15" spans="2:14" x14ac:dyDescent="0.3">
      <c r="B15" s="2" t="s">
        <v>111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6" spans="2:14" x14ac:dyDescent="0.3">
      <c r="B16" t="s">
        <v>90</v>
      </c>
      <c r="C16" s="141">
        <v>-251</v>
      </c>
      <c r="D16" s="141">
        <v>-454</v>
      </c>
      <c r="E16" s="141">
        <v>-817</v>
      </c>
      <c r="F16" s="141">
        <v>-684</v>
      </c>
      <c r="G16" s="141">
        <v>-1426</v>
      </c>
      <c r="H16" s="141">
        <v>-1151</v>
      </c>
      <c r="I16" s="141">
        <v>-414</v>
      </c>
      <c r="J16" s="141">
        <v>-289</v>
      </c>
      <c r="K16" s="141">
        <v>-551</v>
      </c>
      <c r="L16" s="141">
        <v>-1446</v>
      </c>
      <c r="M16" s="141">
        <v>-2496</v>
      </c>
      <c r="N16" s="141">
        <v>-1830</v>
      </c>
    </row>
    <row r="17" spans="2:14" x14ac:dyDescent="0.3">
      <c r="B17" t="s">
        <v>91</v>
      </c>
      <c r="C17" s="141">
        <v>16</v>
      </c>
      <c r="D17" s="141">
        <v>16</v>
      </c>
      <c r="E17" s="141">
        <v>15</v>
      </c>
      <c r="F17" s="141">
        <v>17</v>
      </c>
      <c r="G17" s="141">
        <v>17</v>
      </c>
      <c r="H17" s="141">
        <v>17</v>
      </c>
      <c r="I17" s="141">
        <v>37</v>
      </c>
      <c r="J17" s="141">
        <v>28</v>
      </c>
      <c r="K17" s="141">
        <v>40</v>
      </c>
      <c r="L17" s="141">
        <v>26</v>
      </c>
      <c r="M17" s="141">
        <v>5</v>
      </c>
      <c r="N17" s="141">
        <v>10</v>
      </c>
    </row>
    <row r="18" spans="2:14" x14ac:dyDescent="0.3">
      <c r="B18" t="s">
        <v>92</v>
      </c>
      <c r="C18" s="141">
        <v>-872</v>
      </c>
      <c r="D18" s="141">
        <v>-243</v>
      </c>
      <c r="E18" s="141">
        <v>-282</v>
      </c>
      <c r="F18" s="141">
        <v>-153</v>
      </c>
      <c r="G18" s="141">
        <v>-320</v>
      </c>
      <c r="H18" s="141">
        <v>-573</v>
      </c>
      <c r="I18" s="141">
        <v>-25</v>
      </c>
      <c r="J18" s="141">
        <v>-140</v>
      </c>
      <c r="K18" s="141">
        <v>0</v>
      </c>
      <c r="L18" s="141">
        <v>-146</v>
      </c>
      <c r="M18" s="141">
        <v>-212</v>
      </c>
      <c r="N18" s="141">
        <v>-1</v>
      </c>
    </row>
    <row r="19" spans="2:14" x14ac:dyDescent="0.3">
      <c r="B19" t="s">
        <v>93</v>
      </c>
      <c r="C19" s="141">
        <v>463</v>
      </c>
      <c r="D19" s="141">
        <v>278</v>
      </c>
      <c r="E19" s="141">
        <v>205</v>
      </c>
      <c r="F19" s="141">
        <v>357</v>
      </c>
      <c r="G19" s="141">
        <v>362</v>
      </c>
      <c r="H19" s="141">
        <v>733</v>
      </c>
      <c r="I19" s="141">
        <v>118</v>
      </c>
      <c r="J19" s="141">
        <v>272</v>
      </c>
      <c r="K19" s="141">
        <v>207</v>
      </c>
      <c r="L19" s="141">
        <v>446</v>
      </c>
      <c r="M19" s="141">
        <v>240</v>
      </c>
      <c r="N19" s="141">
        <v>421</v>
      </c>
    </row>
    <row r="20" spans="2:14" x14ac:dyDescent="0.3">
      <c r="B20" t="s">
        <v>94</v>
      </c>
      <c r="C20" s="141">
        <v>14</v>
      </c>
      <c r="D20" s="141">
        <v>11</v>
      </c>
      <c r="E20" s="141">
        <v>15</v>
      </c>
      <c r="F20" s="141">
        <v>32</v>
      </c>
      <c r="G20" s="141">
        <v>39</v>
      </c>
      <c r="H20" s="141">
        <v>40</v>
      </c>
      <c r="I20" s="141">
        <v>65</v>
      </c>
      <c r="J20" s="141">
        <v>73</v>
      </c>
      <c r="K20" s="141">
        <v>77</v>
      </c>
      <c r="L20" s="141">
        <v>87</v>
      </c>
      <c r="M20" s="141">
        <v>135</v>
      </c>
      <c r="N20" s="141">
        <v>155</v>
      </c>
    </row>
    <row r="21" spans="2:14" x14ac:dyDescent="0.3">
      <c r="B21" t="s">
        <v>95</v>
      </c>
      <c r="C21" s="141">
        <v>65</v>
      </c>
      <c r="D21" s="141">
        <v>71</v>
      </c>
      <c r="E21" s="141">
        <v>69</v>
      </c>
      <c r="F21" s="141">
        <v>74</v>
      </c>
      <c r="G21" s="141">
        <v>38</v>
      </c>
      <c r="H21" s="141">
        <v>40</v>
      </c>
      <c r="I21" s="141">
        <v>27</v>
      </c>
      <c r="J21" s="141">
        <v>8</v>
      </c>
      <c r="K21" s="141">
        <v>15</v>
      </c>
      <c r="L21" s="141">
        <v>56</v>
      </c>
      <c r="M21" s="141">
        <v>129</v>
      </c>
      <c r="N21" s="141">
        <v>136</v>
      </c>
    </row>
    <row r="22" spans="2:14" x14ac:dyDescent="0.3">
      <c r="B22" t="s">
        <v>96</v>
      </c>
      <c r="C22" s="141">
        <v>0</v>
      </c>
      <c r="D22" s="141">
        <v>0</v>
      </c>
      <c r="E22" s="141">
        <v>0</v>
      </c>
      <c r="F22" s="141">
        <v>0</v>
      </c>
      <c r="G22" s="141">
        <v>0</v>
      </c>
      <c r="H22" s="141">
        <v>0</v>
      </c>
      <c r="I22" s="141">
        <v>0</v>
      </c>
      <c r="J22" s="141">
        <v>0</v>
      </c>
      <c r="K22" s="141">
        <v>0</v>
      </c>
      <c r="L22" s="141">
        <v>-180</v>
      </c>
      <c r="M22" s="141">
        <v>0</v>
      </c>
      <c r="N22" s="141">
        <v>0</v>
      </c>
    </row>
    <row r="23" spans="2:14" x14ac:dyDescent="0.3">
      <c r="B23" t="s">
        <v>97</v>
      </c>
      <c r="C23" s="141">
        <v>0</v>
      </c>
      <c r="D23" s="141">
        <v>0</v>
      </c>
      <c r="E23" s="141">
        <v>0</v>
      </c>
      <c r="F23" s="141">
        <v>0</v>
      </c>
      <c r="G23" s="141">
        <v>141</v>
      </c>
      <c r="H23" s="141">
        <v>0</v>
      </c>
      <c r="I23" s="141">
        <v>17</v>
      </c>
      <c r="J23" s="141">
        <v>0</v>
      </c>
      <c r="K23" s="141">
        <v>0</v>
      </c>
      <c r="L23" s="141">
        <v>0</v>
      </c>
      <c r="M23" s="141">
        <v>0</v>
      </c>
      <c r="N23" s="141">
        <v>38</v>
      </c>
    </row>
    <row r="24" spans="2:14" x14ac:dyDescent="0.3">
      <c r="B24" t="s">
        <v>98</v>
      </c>
      <c r="C24" s="141">
        <v>0</v>
      </c>
      <c r="D24" s="141">
        <v>0</v>
      </c>
      <c r="E24" s="141">
        <v>0</v>
      </c>
      <c r="F24" s="141">
        <v>0</v>
      </c>
      <c r="G24" s="141">
        <v>-525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</row>
    <row r="25" spans="2:14" x14ac:dyDescent="0.3">
      <c r="B25" t="s">
        <v>99</v>
      </c>
      <c r="C25" s="16">
        <v>-21</v>
      </c>
      <c r="D25" s="16">
        <v>-144</v>
      </c>
      <c r="E25" s="16">
        <v>-70</v>
      </c>
      <c r="F25" s="16">
        <v>-324</v>
      </c>
      <c r="G25" s="16">
        <v>118</v>
      </c>
      <c r="H25" s="16">
        <v>-24</v>
      </c>
      <c r="I25" s="16">
        <v>-343</v>
      </c>
      <c r="J25" s="16">
        <v>-493</v>
      </c>
      <c r="K25" s="16">
        <v>-105</v>
      </c>
      <c r="L25" s="16">
        <v>-126</v>
      </c>
      <c r="M25" s="16">
        <v>-350</v>
      </c>
      <c r="N25" s="16">
        <v>130</v>
      </c>
    </row>
    <row r="26" spans="2:14" x14ac:dyDescent="0.3">
      <c r="B26" s="142" t="s">
        <v>294</v>
      </c>
      <c r="C26" s="143">
        <f>SUM(C16:C25)</f>
        <v>-586</v>
      </c>
      <c r="D26" s="143">
        <f t="shared" ref="D26:N26" si="1">SUM(D16:D25)</f>
        <v>-465</v>
      </c>
      <c r="E26" s="143">
        <f t="shared" si="1"/>
        <v>-865</v>
      </c>
      <c r="F26" s="143">
        <f t="shared" si="1"/>
        <v>-681</v>
      </c>
      <c r="G26" s="143">
        <f>SUM(G16:G25)</f>
        <v>-1556</v>
      </c>
      <c r="H26" s="143">
        <f t="shared" si="1"/>
        <v>-918</v>
      </c>
      <c r="I26" s="143">
        <f t="shared" si="1"/>
        <v>-518</v>
      </c>
      <c r="J26" s="143">
        <f t="shared" si="1"/>
        <v>-541</v>
      </c>
      <c r="K26" s="143">
        <f t="shared" si="1"/>
        <v>-317</v>
      </c>
      <c r="L26" s="143">
        <f t="shared" si="1"/>
        <v>-1283</v>
      </c>
      <c r="M26" s="143">
        <f t="shared" si="1"/>
        <v>-2549</v>
      </c>
      <c r="N26" s="143">
        <f t="shared" si="1"/>
        <v>-941</v>
      </c>
    </row>
    <row r="27" spans="2:14" x14ac:dyDescent="0.3"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2:14" x14ac:dyDescent="0.3">
      <c r="B28" s="2" t="s">
        <v>112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spans="2:14" x14ac:dyDescent="0.3">
      <c r="B29" t="s">
        <v>100</v>
      </c>
      <c r="C29" s="141">
        <v>0</v>
      </c>
      <c r="D29" s="141">
        <v>0</v>
      </c>
      <c r="E29" s="141">
        <v>0</v>
      </c>
      <c r="F29" s="141">
        <v>0</v>
      </c>
      <c r="G29" s="141">
        <v>0</v>
      </c>
      <c r="H29" s="141">
        <v>0</v>
      </c>
      <c r="I29" s="141">
        <v>0</v>
      </c>
      <c r="J29" s="141">
        <v>0</v>
      </c>
      <c r="K29" s="141">
        <v>0</v>
      </c>
      <c r="L29" s="141">
        <v>0</v>
      </c>
      <c r="M29" s="141">
        <v>1</v>
      </c>
      <c r="N29" s="141">
        <v>0</v>
      </c>
    </row>
    <row r="30" spans="2:14" x14ac:dyDescent="0.3">
      <c r="B30" t="s">
        <v>101</v>
      </c>
      <c r="C30" s="141">
        <v>44</v>
      </c>
      <c r="D30" s="141">
        <v>239</v>
      </c>
      <c r="E30" s="141">
        <v>8</v>
      </c>
      <c r="F30" s="141">
        <v>271</v>
      </c>
      <c r="G30" s="141">
        <v>10</v>
      </c>
      <c r="H30" s="141">
        <v>243</v>
      </c>
      <c r="I30" s="141">
        <v>221</v>
      </c>
      <c r="J30" s="141">
        <v>155</v>
      </c>
      <c r="K30" s="141">
        <v>418</v>
      </c>
      <c r="L30" s="141">
        <v>254</v>
      </c>
      <c r="M30" s="141">
        <v>101</v>
      </c>
      <c r="N30" s="141">
        <v>415</v>
      </c>
    </row>
    <row r="31" spans="2:14" x14ac:dyDescent="0.3">
      <c r="B31" t="s">
        <v>102</v>
      </c>
      <c r="C31" s="141">
        <v>-81</v>
      </c>
      <c r="D31" s="141">
        <v>-86</v>
      </c>
      <c r="E31" s="141">
        <v>-119</v>
      </c>
      <c r="F31" s="141">
        <v>-58</v>
      </c>
      <c r="G31" s="141">
        <v>-54</v>
      </c>
      <c r="H31" s="141">
        <v>-26</v>
      </c>
      <c r="I31" s="141">
        <v>-279</v>
      </c>
      <c r="J31" s="141">
        <v>-14</v>
      </c>
      <c r="K31" s="141">
        <v>-8</v>
      </c>
      <c r="L31" s="141">
        <v>-25</v>
      </c>
      <c r="M31" s="141">
        <v>-98</v>
      </c>
      <c r="N31" s="141">
        <v>-428</v>
      </c>
    </row>
    <row r="32" spans="2:14" x14ac:dyDescent="0.3">
      <c r="B32" t="s">
        <v>103</v>
      </c>
      <c r="C32" s="141">
        <v>-42</v>
      </c>
      <c r="D32" s="141">
        <v>-35</v>
      </c>
      <c r="E32" s="141">
        <v>-40</v>
      </c>
      <c r="F32" s="141">
        <v>-36</v>
      </c>
      <c r="G32" s="141">
        <v>-35</v>
      </c>
      <c r="H32" s="141">
        <v>-106</v>
      </c>
      <c r="I32" s="141">
        <v>-101</v>
      </c>
      <c r="J32" s="141">
        <v>-89</v>
      </c>
      <c r="K32" s="141">
        <v>-94</v>
      </c>
      <c r="L32" s="141">
        <v>-142</v>
      </c>
      <c r="M32" s="141">
        <v>-191</v>
      </c>
      <c r="N32" s="141">
        <v>-203</v>
      </c>
    </row>
    <row r="33" spans="2:14" x14ac:dyDescent="0.3">
      <c r="B33" t="s">
        <v>104</v>
      </c>
      <c r="C33" s="141">
        <v>-547</v>
      </c>
      <c r="D33" s="141">
        <v>-695</v>
      </c>
      <c r="E33" s="141">
        <v>-764</v>
      </c>
      <c r="F33" s="141">
        <v>-947</v>
      </c>
      <c r="G33" s="141">
        <v>-1218</v>
      </c>
      <c r="H33" s="141">
        <v>-1049</v>
      </c>
      <c r="I33" s="141">
        <v>-2121</v>
      </c>
      <c r="J33" s="141">
        <v>-499</v>
      </c>
      <c r="K33" s="141">
        <v>-1763</v>
      </c>
      <c r="L33" s="141">
        <v>-1936</v>
      </c>
      <c r="M33" s="141">
        <v>-2551</v>
      </c>
      <c r="N33" s="141">
        <v>-3140</v>
      </c>
    </row>
    <row r="34" spans="2:14" x14ac:dyDescent="0.3">
      <c r="B34" t="s">
        <v>105</v>
      </c>
      <c r="C34" s="141">
        <v>0</v>
      </c>
      <c r="D34" s="141">
        <v>0</v>
      </c>
      <c r="E34" s="141">
        <v>0</v>
      </c>
      <c r="F34" s="141">
        <v>0</v>
      </c>
      <c r="G34" s="141">
        <v>0</v>
      </c>
      <c r="H34" s="141">
        <v>-180</v>
      </c>
      <c r="I34" s="141">
        <v>-179</v>
      </c>
      <c r="J34" s="141">
        <v>-203</v>
      </c>
      <c r="K34" s="141">
        <v>-221</v>
      </c>
      <c r="L34" s="141">
        <v>-256</v>
      </c>
      <c r="M34" s="141">
        <v>-286</v>
      </c>
      <c r="N34" s="141">
        <v>-325</v>
      </c>
    </row>
    <row r="35" spans="2:14" x14ac:dyDescent="0.3">
      <c r="B35" t="s">
        <v>106</v>
      </c>
      <c r="C35" s="141">
        <v>0</v>
      </c>
      <c r="D35" s="141">
        <v>0</v>
      </c>
      <c r="E35" s="141">
        <v>66</v>
      </c>
      <c r="F35" s="141">
        <v>13</v>
      </c>
      <c r="G35" s="141">
        <v>-82</v>
      </c>
      <c r="H35" s="141">
        <v>0</v>
      </c>
      <c r="I35" s="141">
        <v>-6</v>
      </c>
      <c r="J35" s="141">
        <v>0</v>
      </c>
      <c r="K35" s="141">
        <v>-140</v>
      </c>
      <c r="L35" s="141">
        <v>-36</v>
      </c>
      <c r="M35" s="141">
        <v>41</v>
      </c>
      <c r="N35" s="141">
        <v>-72</v>
      </c>
    </row>
    <row r="36" spans="2:14" x14ac:dyDescent="0.3">
      <c r="B36" t="s">
        <v>107</v>
      </c>
      <c r="C36" s="16">
        <v>190</v>
      </c>
      <c r="D36" s="16">
        <v>147</v>
      </c>
      <c r="E36" s="16">
        <v>528</v>
      </c>
      <c r="F36" s="16">
        <v>90</v>
      </c>
      <c r="G36" s="16">
        <v>-822</v>
      </c>
      <c r="H36" s="16">
        <v>434</v>
      </c>
      <c r="I36" s="16">
        <v>-351</v>
      </c>
      <c r="J36" s="16">
        <v>2492</v>
      </c>
      <c r="K36" s="16">
        <v>-1138</v>
      </c>
      <c r="L36" s="16">
        <v>771</v>
      </c>
      <c r="M36" s="16">
        <v>573</v>
      </c>
      <c r="N36" s="16">
        <v>-270</v>
      </c>
    </row>
    <row r="37" spans="2:14" x14ac:dyDescent="0.3">
      <c r="B37" s="142" t="s">
        <v>295</v>
      </c>
      <c r="C37" s="143">
        <f>SUM(C29:C35)</f>
        <v>-626</v>
      </c>
      <c r="D37" s="143">
        <f t="shared" ref="D37:N37" si="2">SUM(D29:D35)</f>
        <v>-577</v>
      </c>
      <c r="E37" s="143">
        <f t="shared" si="2"/>
        <v>-849</v>
      </c>
      <c r="F37" s="143">
        <f t="shared" si="2"/>
        <v>-757</v>
      </c>
      <c r="G37" s="143">
        <f t="shared" si="2"/>
        <v>-1379</v>
      </c>
      <c r="H37" s="143">
        <f t="shared" si="2"/>
        <v>-1118</v>
      </c>
      <c r="I37" s="143">
        <f t="shared" si="2"/>
        <v>-2465</v>
      </c>
      <c r="J37" s="143">
        <f t="shared" si="2"/>
        <v>-650</v>
      </c>
      <c r="K37" s="143">
        <f t="shared" si="2"/>
        <v>-1808</v>
      </c>
      <c r="L37" s="143">
        <f t="shared" si="2"/>
        <v>-2141</v>
      </c>
      <c r="M37" s="143">
        <f t="shared" si="2"/>
        <v>-2983</v>
      </c>
      <c r="N37" s="143">
        <f t="shared" si="2"/>
        <v>-3753</v>
      </c>
    </row>
    <row r="38" spans="2:14" x14ac:dyDescent="0.3"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2:14" ht="15" thickBot="1" x14ac:dyDescent="0.35">
      <c r="B39" s="138" t="s">
        <v>21</v>
      </c>
      <c r="C39" s="144">
        <f>SUM(C13,C37,C26)</f>
        <v>23</v>
      </c>
      <c r="D39" s="144">
        <f t="shared" ref="D39:N39" si="3">SUM(D13,D37,D26)</f>
        <v>-304</v>
      </c>
      <c r="E39" s="144">
        <f t="shared" si="3"/>
        <v>728</v>
      </c>
      <c r="F39" s="144">
        <f t="shared" si="3"/>
        <v>-513</v>
      </c>
      <c r="G39" s="144">
        <f t="shared" si="3"/>
        <v>-902</v>
      </c>
      <c r="H39" s="144">
        <f t="shared" si="3"/>
        <v>23</v>
      </c>
      <c r="I39" s="144">
        <f t="shared" si="3"/>
        <v>-1089</v>
      </c>
      <c r="J39" s="144">
        <f t="shared" si="3"/>
        <v>2286</v>
      </c>
      <c r="K39" s="144">
        <f t="shared" si="3"/>
        <v>-3933</v>
      </c>
      <c r="L39" s="144">
        <f t="shared" si="3"/>
        <v>-2</v>
      </c>
      <c r="M39" s="144">
        <f t="shared" si="3"/>
        <v>582</v>
      </c>
      <c r="N39" s="144">
        <f t="shared" si="3"/>
        <v>-839</v>
      </c>
    </row>
    <row r="40" spans="2:14" x14ac:dyDescent="0.3">
      <c r="E40" s="16"/>
    </row>
  </sheetData>
  <pageMargins left="0.7" right="0.7" top="0.75" bottom="0.75" header="0.3" footer="0.3"/>
  <pageSetup orientation="portrait" r:id="rId1"/>
  <ignoredErrors>
    <ignoredError sqref="C13:N13 C37:N37 C26:N26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Normal="100" zoomScalePageLayoutView="120" workbookViewId="0">
      <pane xSplit="1" ySplit="1" topLeftCell="B12" activePane="bottomRight" state="frozen"/>
      <selection activeCell="C4" sqref="C4"/>
      <selection pane="topRight" activeCell="C4" sqref="C4"/>
      <selection pane="bottomLeft" activeCell="C4" sqref="C4"/>
      <selection pane="bottomRight" activeCell="B15" sqref="B15"/>
    </sheetView>
  </sheetViews>
  <sheetFormatPr defaultColWidth="8.77734375" defaultRowHeight="14.4" x14ac:dyDescent="0.3"/>
  <cols>
    <col min="1" max="1" width="27.6640625" style="3" bestFit="1" customWidth="1"/>
    <col min="2" max="11" width="13.44140625" style="3" bestFit="1" customWidth="1"/>
    <col min="12" max="16384" width="8.77734375" style="3"/>
  </cols>
  <sheetData>
    <row r="1" spans="1:11" s="1" customFormat="1" x14ac:dyDescent="0.3">
      <c r="A1" s="1" t="s">
        <v>0</v>
      </c>
      <c r="B1" s="1" t="s">
        <v>33</v>
      </c>
      <c r="E1" s="244" t="str">
        <f>IF(B2&lt;&gt;B3, "A NEW VERSION OF THE WORKSHEET IS AVAILABLE", "")</f>
        <v/>
      </c>
      <c r="F1" s="244"/>
      <c r="G1" s="244"/>
      <c r="H1" s="244"/>
      <c r="I1" s="244"/>
      <c r="J1" s="244"/>
      <c r="K1" s="244"/>
    </row>
    <row r="2" spans="1:11" x14ac:dyDescent="0.3">
      <c r="A2" s="1" t="s">
        <v>31</v>
      </c>
      <c r="B2" s="3">
        <v>2.1</v>
      </c>
      <c r="E2" s="245" t="s">
        <v>22</v>
      </c>
      <c r="F2" s="245"/>
      <c r="G2" s="245"/>
      <c r="H2" s="245"/>
      <c r="I2" s="245"/>
      <c r="J2" s="245"/>
      <c r="K2" s="245"/>
    </row>
    <row r="3" spans="1:11" x14ac:dyDescent="0.3">
      <c r="A3" s="1" t="s">
        <v>32</v>
      </c>
      <c r="B3" s="3">
        <v>2.1</v>
      </c>
    </row>
    <row r="4" spans="1:11" x14ac:dyDescent="0.3">
      <c r="A4" s="1"/>
    </row>
    <row r="5" spans="1:11" x14ac:dyDescent="0.3">
      <c r="A5" s="1" t="s">
        <v>34</v>
      </c>
    </row>
    <row r="6" spans="1:11" x14ac:dyDescent="0.3">
      <c r="A6" s="3" t="s">
        <v>28</v>
      </c>
      <c r="B6" s="3">
        <f>IF(B9&gt;0, B9/B8, 0)</f>
        <v>95.961576854750021</v>
      </c>
    </row>
    <row r="7" spans="1:11" x14ac:dyDescent="0.3">
      <c r="A7" s="3" t="s">
        <v>17</v>
      </c>
      <c r="B7">
        <v>1</v>
      </c>
    </row>
    <row r="8" spans="1:11" x14ac:dyDescent="0.3">
      <c r="A8" s="3" t="s">
        <v>29</v>
      </c>
      <c r="B8">
        <v>2364.1999999999998</v>
      </c>
    </row>
    <row r="9" spans="1:11" x14ac:dyDescent="0.3">
      <c r="A9" s="3" t="s">
        <v>44</v>
      </c>
      <c r="B9">
        <v>226872.36</v>
      </c>
    </row>
    <row r="14" spans="1:11" x14ac:dyDescent="0.3">
      <c r="B14" s="3">
        <f>B17- SUM(B18:B22)</f>
        <v>5256.3099999999995</v>
      </c>
    </row>
    <row r="15" spans="1:11" x14ac:dyDescent="0.3">
      <c r="A15" s="1" t="s">
        <v>23</v>
      </c>
      <c r="C15" s="16"/>
    </row>
    <row r="16" spans="1:11" s="7" customFormat="1" x14ac:dyDescent="0.3">
      <c r="A16" s="6" t="s">
        <v>24</v>
      </c>
      <c r="B16" s="5">
        <v>42460</v>
      </c>
      <c r="C16" s="5">
        <v>42825</v>
      </c>
      <c r="D16" s="5">
        <v>43190</v>
      </c>
      <c r="E16" s="5">
        <v>43555</v>
      </c>
      <c r="F16" s="5">
        <v>43921</v>
      </c>
      <c r="G16" s="5">
        <v>44286</v>
      </c>
      <c r="H16" s="5">
        <v>44651</v>
      </c>
      <c r="I16" s="5">
        <v>45016</v>
      </c>
      <c r="J16" s="5">
        <v>45382</v>
      </c>
      <c r="K16" s="5">
        <v>45747</v>
      </c>
    </row>
    <row r="17" spans="1:11" s="4" customFormat="1" x14ac:dyDescent="0.3">
      <c r="A17" s="4" t="s">
        <v>1</v>
      </c>
      <c r="B17">
        <v>14271.49</v>
      </c>
      <c r="C17">
        <v>15061.99</v>
      </c>
      <c r="D17">
        <v>16824.55</v>
      </c>
      <c r="E17">
        <v>19240.13</v>
      </c>
      <c r="F17">
        <v>20211.25</v>
      </c>
      <c r="G17">
        <v>21712.79</v>
      </c>
      <c r="H17">
        <v>29101.279999999999</v>
      </c>
      <c r="I17">
        <v>34488.589999999997</v>
      </c>
      <c r="J17">
        <v>35494.730000000003</v>
      </c>
      <c r="K17">
        <v>33905.620000000003</v>
      </c>
    </row>
    <row r="18" spans="1:11" s="4" customFormat="1" x14ac:dyDescent="0.3">
      <c r="A18" s="3" t="s">
        <v>45</v>
      </c>
      <c r="B18">
        <v>6569.83</v>
      </c>
      <c r="C18">
        <v>7452.6</v>
      </c>
      <c r="D18">
        <v>8128.17</v>
      </c>
      <c r="E18">
        <v>9974.4</v>
      </c>
      <c r="F18">
        <v>9986.19</v>
      </c>
      <c r="G18">
        <v>10425.549999999999</v>
      </c>
      <c r="H18">
        <v>17123.25</v>
      </c>
      <c r="I18">
        <v>18985.53</v>
      </c>
      <c r="J18">
        <v>17410.84</v>
      </c>
      <c r="K18">
        <v>17504.509999999998</v>
      </c>
    </row>
    <row r="19" spans="1:11" s="4" customFormat="1" x14ac:dyDescent="0.3">
      <c r="A19" s="3" t="s">
        <v>46</v>
      </c>
      <c r="B19">
        <v>-199.33</v>
      </c>
      <c r="C19">
        <v>528.6</v>
      </c>
      <c r="D19">
        <v>-142.13</v>
      </c>
      <c r="E19">
        <v>293.26</v>
      </c>
      <c r="F19">
        <v>239.15</v>
      </c>
      <c r="G19">
        <v>92.45</v>
      </c>
      <c r="H19">
        <v>1324.97</v>
      </c>
      <c r="I19">
        <v>309.73</v>
      </c>
      <c r="J19">
        <v>-363.8</v>
      </c>
      <c r="K19">
        <v>205</v>
      </c>
    </row>
    <row r="20" spans="1:11" s="4" customFormat="1" x14ac:dyDescent="0.3">
      <c r="A20" s="3" t="s">
        <v>47</v>
      </c>
      <c r="B20">
        <v>114.48</v>
      </c>
      <c r="C20">
        <v>106.02</v>
      </c>
      <c r="D20">
        <v>110.3</v>
      </c>
      <c r="E20">
        <v>119.63</v>
      </c>
      <c r="F20">
        <v>114.93</v>
      </c>
      <c r="G20">
        <v>86.05</v>
      </c>
      <c r="H20">
        <v>117.23</v>
      </c>
      <c r="I20">
        <v>138.29</v>
      </c>
      <c r="J20">
        <v>133.25</v>
      </c>
      <c r="K20">
        <v>148.58000000000001</v>
      </c>
    </row>
    <row r="21" spans="1:11" s="4" customFormat="1" x14ac:dyDescent="0.3">
      <c r="A21" s="3" t="s">
        <v>48</v>
      </c>
      <c r="B21">
        <v>1535.22</v>
      </c>
      <c r="C21">
        <v>1662.75</v>
      </c>
      <c r="D21">
        <v>1691.68</v>
      </c>
      <c r="E21">
        <v>1862.35</v>
      </c>
      <c r="F21">
        <v>1941.92</v>
      </c>
      <c r="G21">
        <v>2068.31</v>
      </c>
      <c r="H21">
        <v>2880.45</v>
      </c>
      <c r="I21">
        <v>2916.2</v>
      </c>
      <c r="J21">
        <v>2767.18</v>
      </c>
      <c r="K21">
        <v>2687.4</v>
      </c>
    </row>
    <row r="22" spans="1:11" s="4" customFormat="1" x14ac:dyDescent="0.3">
      <c r="A22" s="3" t="s">
        <v>49</v>
      </c>
      <c r="B22">
        <v>994.98</v>
      </c>
      <c r="C22">
        <v>1039.8900000000001</v>
      </c>
      <c r="D22">
        <v>1121.8900000000001</v>
      </c>
      <c r="E22">
        <v>1242.69</v>
      </c>
      <c r="F22">
        <v>1371.27</v>
      </c>
      <c r="G22">
        <v>1547.61</v>
      </c>
      <c r="H22">
        <v>1794.61</v>
      </c>
      <c r="I22">
        <v>2036.41</v>
      </c>
      <c r="J22">
        <v>2334.92</v>
      </c>
      <c r="K22">
        <v>2605.7800000000002</v>
      </c>
    </row>
    <row r="23" spans="1:11" s="4" customFormat="1" x14ac:dyDescent="0.3">
      <c r="A23" s="3" t="s">
        <v>50</v>
      </c>
      <c r="B23">
        <v>3912.3</v>
      </c>
      <c r="C23">
        <v>4364.04</v>
      </c>
      <c r="D23">
        <v>2254.92</v>
      </c>
      <c r="E23">
        <v>2366.87</v>
      </c>
      <c r="F23">
        <v>2623.15</v>
      </c>
      <c r="G23">
        <v>2245.69</v>
      </c>
      <c r="H23">
        <v>2941.98</v>
      </c>
      <c r="I23">
        <v>3500.84</v>
      </c>
      <c r="J23">
        <v>3811.86</v>
      </c>
      <c r="K23">
        <v>3874.94</v>
      </c>
    </row>
    <row r="24" spans="1:11" s="4" customFormat="1" x14ac:dyDescent="0.3">
      <c r="A24" s="3" t="s">
        <v>51</v>
      </c>
      <c r="B24">
        <v>-1779.69</v>
      </c>
      <c r="C24">
        <v>-2028.47</v>
      </c>
      <c r="D24">
        <v>171.45</v>
      </c>
      <c r="E24">
        <v>202.51</v>
      </c>
      <c r="F24">
        <v>245.55</v>
      </c>
      <c r="G24">
        <v>576.42999999999995</v>
      </c>
      <c r="H24">
        <v>765.12</v>
      </c>
      <c r="I24">
        <v>961.21</v>
      </c>
      <c r="J24">
        <v>1087.9000000000001</v>
      </c>
      <c r="K24">
        <v>1283.2</v>
      </c>
    </row>
    <row r="25" spans="1:11" s="4" customFormat="1" x14ac:dyDescent="0.3">
      <c r="A25" s="4" t="s">
        <v>4</v>
      </c>
      <c r="B25">
        <v>213.39</v>
      </c>
      <c r="C25">
        <v>337.9</v>
      </c>
      <c r="D25">
        <v>336.41</v>
      </c>
      <c r="E25">
        <v>273.77</v>
      </c>
      <c r="F25">
        <v>350.1</v>
      </c>
      <c r="G25">
        <v>331.65</v>
      </c>
      <c r="H25">
        <v>295.88</v>
      </c>
      <c r="I25">
        <v>431.46</v>
      </c>
      <c r="J25">
        <v>820.96</v>
      </c>
      <c r="K25">
        <v>350.22</v>
      </c>
    </row>
    <row r="26" spans="1:11" s="4" customFormat="1" x14ac:dyDescent="0.3">
      <c r="A26" s="4" t="s">
        <v>5</v>
      </c>
      <c r="B26">
        <v>275.58</v>
      </c>
      <c r="C26">
        <v>334.79</v>
      </c>
      <c r="D26">
        <v>360.47</v>
      </c>
      <c r="E26">
        <v>622.14</v>
      </c>
      <c r="F26">
        <v>780.5</v>
      </c>
      <c r="G26">
        <v>791.27</v>
      </c>
      <c r="H26">
        <v>816.36</v>
      </c>
      <c r="I26">
        <v>858.02</v>
      </c>
      <c r="J26">
        <v>853</v>
      </c>
      <c r="K26">
        <v>1026.3399999999999</v>
      </c>
    </row>
    <row r="27" spans="1:11" s="4" customFormat="1" x14ac:dyDescent="0.3">
      <c r="A27" s="4" t="s">
        <v>6</v>
      </c>
      <c r="B27">
        <v>49</v>
      </c>
      <c r="C27">
        <v>37.33</v>
      </c>
      <c r="D27">
        <v>41.47</v>
      </c>
      <c r="E27">
        <v>110.47</v>
      </c>
      <c r="F27">
        <v>107.95</v>
      </c>
      <c r="G27">
        <v>91.63</v>
      </c>
      <c r="H27">
        <v>95.41</v>
      </c>
      <c r="I27">
        <v>144.44999999999999</v>
      </c>
      <c r="J27">
        <v>205.17</v>
      </c>
      <c r="K27">
        <v>227.02</v>
      </c>
    </row>
    <row r="28" spans="1:11" s="4" customFormat="1" x14ac:dyDescent="0.3">
      <c r="A28" s="4" t="s">
        <v>7</v>
      </c>
      <c r="B28">
        <v>2613.85</v>
      </c>
      <c r="C28">
        <v>2959.54</v>
      </c>
      <c r="D28">
        <v>3138.48</v>
      </c>
      <c r="E28">
        <v>3306.1</v>
      </c>
      <c r="F28">
        <v>3629.04</v>
      </c>
      <c r="G28">
        <v>4304.3500000000004</v>
      </c>
      <c r="H28">
        <v>4187.72</v>
      </c>
      <c r="I28">
        <v>5688.83</v>
      </c>
      <c r="J28">
        <v>7347.77</v>
      </c>
      <c r="K28">
        <v>5103.07</v>
      </c>
    </row>
    <row r="29" spans="1:11" s="4" customFormat="1" x14ac:dyDescent="0.3">
      <c r="A29" s="4" t="s">
        <v>8</v>
      </c>
      <c r="B29">
        <v>844.49</v>
      </c>
      <c r="C29">
        <v>943.29</v>
      </c>
      <c r="D29">
        <v>1040.96</v>
      </c>
      <c r="E29">
        <v>1098.06</v>
      </c>
      <c r="F29">
        <v>854.85</v>
      </c>
      <c r="G29">
        <v>1097.5999999999999</v>
      </c>
      <c r="H29">
        <v>1102.9100000000001</v>
      </c>
      <c r="I29">
        <v>1493.5</v>
      </c>
      <c r="J29">
        <v>1790.08</v>
      </c>
      <c r="K29">
        <v>1393.36</v>
      </c>
    </row>
    <row r="30" spans="1:11" s="4" customFormat="1" x14ac:dyDescent="0.3">
      <c r="A30" s="4" t="s">
        <v>9</v>
      </c>
      <c r="B30">
        <v>1745.16</v>
      </c>
      <c r="C30">
        <v>1939.43</v>
      </c>
      <c r="D30">
        <v>2038.93</v>
      </c>
      <c r="E30">
        <v>2155.92</v>
      </c>
      <c r="F30">
        <v>2705.17</v>
      </c>
      <c r="G30">
        <v>3139.29</v>
      </c>
      <c r="H30">
        <v>3030.57</v>
      </c>
      <c r="I30">
        <v>4106.45</v>
      </c>
      <c r="J30">
        <v>5460.23</v>
      </c>
      <c r="K30">
        <v>3667.23</v>
      </c>
    </row>
    <row r="31" spans="1:11" s="4" customFormat="1" x14ac:dyDescent="0.3">
      <c r="A31" s="4" t="s">
        <v>35</v>
      </c>
      <c r="B31">
        <v>719.4</v>
      </c>
      <c r="C31">
        <v>987.98</v>
      </c>
      <c r="D31">
        <v>834.5</v>
      </c>
      <c r="E31">
        <v>1007.16</v>
      </c>
      <c r="F31">
        <v>1151.04</v>
      </c>
      <c r="G31">
        <v>1712.17</v>
      </c>
      <c r="H31">
        <v>1836.87</v>
      </c>
      <c r="I31">
        <v>2460.35</v>
      </c>
      <c r="J31">
        <v>3194.14</v>
      </c>
      <c r="K31">
        <v>2378.8200000000002</v>
      </c>
    </row>
    <row r="32" spans="1:11" s="4" customFormat="1" x14ac:dyDescent="0.3"/>
    <row r="33" spans="1:11" x14ac:dyDescent="0.3">
      <c r="A33" s="4" t="s">
        <v>155</v>
      </c>
      <c r="B33" s="3">
        <f>B30+B29+B27+B26</f>
        <v>2914.23</v>
      </c>
      <c r="C33" s="3">
        <f t="shared" ref="C33:K33" si="0">C30+C29+C27+C26</f>
        <v>3254.84</v>
      </c>
      <c r="D33" s="3">
        <f t="shared" si="0"/>
        <v>3481.83</v>
      </c>
      <c r="E33" s="3">
        <f t="shared" si="0"/>
        <v>3986.5899999999997</v>
      </c>
      <c r="F33" s="3">
        <f t="shared" si="0"/>
        <v>4448.4699999999993</v>
      </c>
      <c r="G33" s="3">
        <f t="shared" si="0"/>
        <v>5119.7899999999991</v>
      </c>
      <c r="H33" s="3">
        <f t="shared" si="0"/>
        <v>5045.25</v>
      </c>
      <c r="I33" s="3">
        <f t="shared" si="0"/>
        <v>6602.42</v>
      </c>
      <c r="J33" s="3">
        <f t="shared" si="0"/>
        <v>8308.48</v>
      </c>
      <c r="K33" s="3">
        <f t="shared" si="0"/>
        <v>6313.9500000000007</v>
      </c>
    </row>
    <row r="34" spans="1:11" x14ac:dyDescent="0.3">
      <c r="A34" s="4" t="s">
        <v>289</v>
      </c>
      <c r="B34" s="3">
        <f>B33-B26</f>
        <v>2638.65</v>
      </c>
      <c r="C34" s="3">
        <f>C33-C26</f>
        <v>2920.05</v>
      </c>
      <c r="D34" s="3">
        <f>D33-D26</f>
        <v>3121.3599999999997</v>
      </c>
      <c r="E34" s="3">
        <f>E33-E26</f>
        <v>3364.45</v>
      </c>
      <c r="F34" s="3">
        <f t="shared" ref="F34:K34" si="1">F33-F26</f>
        <v>3667.9699999999993</v>
      </c>
      <c r="G34" s="3">
        <f t="shared" si="1"/>
        <v>4328.5199999999986</v>
      </c>
      <c r="H34" s="3">
        <f t="shared" si="1"/>
        <v>4228.8900000000003</v>
      </c>
      <c r="I34" s="3">
        <f t="shared" si="1"/>
        <v>5744.4</v>
      </c>
      <c r="J34" s="3">
        <f t="shared" si="1"/>
        <v>7455.48</v>
      </c>
      <c r="K34" s="3">
        <f t="shared" si="1"/>
        <v>5287.6100000000006</v>
      </c>
    </row>
    <row r="35" spans="1:11" x14ac:dyDescent="0.3">
      <c r="A35" s="4"/>
    </row>
    <row r="36" spans="1:11" x14ac:dyDescent="0.3">
      <c r="A36" s="4"/>
    </row>
    <row r="37" spans="1:11" x14ac:dyDescent="0.3">
      <c r="A37" s="4"/>
    </row>
    <row r="38" spans="1:11" x14ac:dyDescent="0.3">
      <c r="A38" s="4"/>
    </row>
    <row r="39" spans="1:11" x14ac:dyDescent="0.3">
      <c r="A39" s="4"/>
    </row>
    <row r="40" spans="1:11" x14ac:dyDescent="0.3">
      <c r="A40" s="1" t="s">
        <v>25</v>
      </c>
    </row>
    <row r="41" spans="1:11" s="7" customFormat="1" x14ac:dyDescent="0.3">
      <c r="A41" s="6" t="s">
        <v>24</v>
      </c>
      <c r="B41" s="5">
        <v>45199</v>
      </c>
      <c r="C41" s="5">
        <v>45291</v>
      </c>
      <c r="D41" s="5">
        <v>45382</v>
      </c>
      <c r="E41" s="5">
        <v>45473</v>
      </c>
      <c r="F41" s="5">
        <v>45565</v>
      </c>
      <c r="G41" s="5">
        <v>45657</v>
      </c>
      <c r="H41" s="5">
        <v>45747</v>
      </c>
      <c r="I41" s="5">
        <v>45838</v>
      </c>
      <c r="J41" s="5">
        <v>45930</v>
      </c>
      <c r="K41" s="5">
        <v>46022</v>
      </c>
    </row>
    <row r="42" spans="1:11" s="4" customFormat="1" x14ac:dyDescent="0.3">
      <c r="A42" s="4" t="s">
        <v>1</v>
      </c>
      <c r="B42">
        <v>8478.57</v>
      </c>
      <c r="C42">
        <v>9103.09</v>
      </c>
      <c r="D42">
        <v>8730.76</v>
      </c>
      <c r="E42">
        <v>8969.73</v>
      </c>
      <c r="F42">
        <v>8027.54</v>
      </c>
      <c r="G42">
        <v>8549.44</v>
      </c>
      <c r="H42">
        <v>8358.91</v>
      </c>
      <c r="I42">
        <v>8938.5499999999993</v>
      </c>
      <c r="J42">
        <v>8531.27</v>
      </c>
      <c r="K42">
        <v>8867.02</v>
      </c>
    </row>
    <row r="43" spans="1:11" s="4" customFormat="1" x14ac:dyDescent="0.3">
      <c r="A43" s="4" t="s">
        <v>2</v>
      </c>
      <c r="B43">
        <v>6762.34</v>
      </c>
      <c r="C43">
        <v>7047</v>
      </c>
      <c r="D43">
        <v>7039.39</v>
      </c>
      <c r="E43">
        <v>7275.96</v>
      </c>
      <c r="F43">
        <v>6788.03</v>
      </c>
      <c r="G43">
        <v>6912.71</v>
      </c>
      <c r="H43">
        <v>6922.71</v>
      </c>
      <c r="I43">
        <v>7313.58</v>
      </c>
      <c r="J43">
        <v>7027.89</v>
      </c>
      <c r="K43">
        <v>7086.06</v>
      </c>
    </row>
    <row r="44" spans="1:11" s="4" customFormat="1" x14ac:dyDescent="0.3">
      <c r="A44" s="4" t="s">
        <v>4</v>
      </c>
      <c r="B44">
        <v>194.33</v>
      </c>
      <c r="C44">
        <v>186.46</v>
      </c>
      <c r="D44">
        <v>212.43</v>
      </c>
      <c r="E44">
        <v>192.93</v>
      </c>
      <c r="F44">
        <v>24.53</v>
      </c>
      <c r="G44">
        <v>192.82</v>
      </c>
      <c r="H44">
        <v>-60.06</v>
      </c>
      <c r="I44">
        <v>229.11</v>
      </c>
      <c r="J44">
        <v>236.94</v>
      </c>
      <c r="K44">
        <v>69.14</v>
      </c>
    </row>
    <row r="45" spans="1:11" s="4" customFormat="1" x14ac:dyDescent="0.3">
      <c r="A45" s="4" t="s">
        <v>5</v>
      </c>
      <c r="B45">
        <v>208.72</v>
      </c>
      <c r="C45">
        <v>220.35</v>
      </c>
      <c r="D45">
        <v>225.61</v>
      </c>
      <c r="E45">
        <v>227.7</v>
      </c>
      <c r="F45">
        <v>241.99</v>
      </c>
      <c r="G45">
        <v>255.55</v>
      </c>
      <c r="H45">
        <v>301.10000000000002</v>
      </c>
      <c r="I45">
        <v>300.87</v>
      </c>
      <c r="J45">
        <v>304.93</v>
      </c>
      <c r="K45">
        <v>313.07</v>
      </c>
    </row>
    <row r="46" spans="1:11" s="4" customFormat="1" x14ac:dyDescent="0.3">
      <c r="A46" s="4" t="s">
        <v>6</v>
      </c>
      <c r="B46">
        <v>50.9</v>
      </c>
      <c r="C46">
        <v>54.42</v>
      </c>
      <c r="D46">
        <v>54.1</v>
      </c>
      <c r="E46">
        <v>55.38</v>
      </c>
      <c r="F46">
        <v>63.01</v>
      </c>
      <c r="G46">
        <v>55.84</v>
      </c>
      <c r="H46">
        <v>52.79</v>
      </c>
      <c r="I46">
        <v>44.5</v>
      </c>
      <c r="J46">
        <v>43.87</v>
      </c>
      <c r="K46">
        <v>47.94</v>
      </c>
    </row>
    <row r="47" spans="1:11" s="4" customFormat="1" x14ac:dyDescent="0.3">
      <c r="A47" s="4" t="s">
        <v>7</v>
      </c>
      <c r="B47">
        <v>1650.94</v>
      </c>
      <c r="C47">
        <v>1967.78</v>
      </c>
      <c r="D47">
        <v>1624.09</v>
      </c>
      <c r="E47">
        <v>1603.62</v>
      </c>
      <c r="F47">
        <v>959.04</v>
      </c>
      <c r="G47">
        <v>1518.16</v>
      </c>
      <c r="H47">
        <v>1022.25</v>
      </c>
      <c r="I47">
        <v>1508.71</v>
      </c>
      <c r="J47">
        <v>1391.52</v>
      </c>
      <c r="K47">
        <v>1489.09</v>
      </c>
    </row>
    <row r="48" spans="1:11" s="4" customFormat="1" x14ac:dyDescent="0.3">
      <c r="A48" s="4" t="s">
        <v>8</v>
      </c>
      <c r="B48">
        <v>418.55</v>
      </c>
      <c r="C48">
        <v>492.62</v>
      </c>
      <c r="D48">
        <v>348.79</v>
      </c>
      <c r="E48">
        <v>416.83</v>
      </c>
      <c r="F48">
        <v>265.38</v>
      </c>
      <c r="G48">
        <v>389.73</v>
      </c>
      <c r="H48">
        <v>321.42</v>
      </c>
      <c r="I48">
        <v>391.66</v>
      </c>
      <c r="J48">
        <v>373.29</v>
      </c>
      <c r="K48">
        <v>415.17</v>
      </c>
    </row>
    <row r="49" spans="1:11" s="4" customFormat="1" x14ac:dyDescent="0.3">
      <c r="A49" s="4" t="s">
        <v>9</v>
      </c>
      <c r="B49">
        <v>1205.42</v>
      </c>
      <c r="C49">
        <v>1447.72</v>
      </c>
      <c r="D49">
        <v>1256.72</v>
      </c>
      <c r="E49">
        <v>1169.98</v>
      </c>
      <c r="F49">
        <v>694.64</v>
      </c>
      <c r="G49">
        <v>1110.48</v>
      </c>
      <c r="H49">
        <v>692.13</v>
      </c>
      <c r="I49">
        <v>1099.77</v>
      </c>
      <c r="J49">
        <v>993.59</v>
      </c>
      <c r="K49">
        <v>1059.8699999999999</v>
      </c>
    </row>
    <row r="50" spans="1:11" x14ac:dyDescent="0.3">
      <c r="A50" s="4" t="s">
        <v>3</v>
      </c>
      <c r="B50">
        <v>1716.23</v>
      </c>
      <c r="C50">
        <v>2056.09</v>
      </c>
      <c r="D50">
        <v>1691.37</v>
      </c>
      <c r="E50">
        <v>1693.77</v>
      </c>
      <c r="F50">
        <v>1239.51</v>
      </c>
      <c r="G50">
        <v>1636.73</v>
      </c>
      <c r="H50">
        <v>1436.2</v>
      </c>
      <c r="I50">
        <v>1624.97</v>
      </c>
      <c r="J50">
        <v>1503.38</v>
      </c>
      <c r="K50">
        <v>1780.96</v>
      </c>
    </row>
    <row r="51" spans="1:11" x14ac:dyDescent="0.3">
      <c r="A51" s="4"/>
    </row>
    <row r="52" spans="1:11" x14ac:dyDescent="0.3">
      <c r="A52" s="4"/>
    </row>
    <row r="53" spans="1:11" x14ac:dyDescent="0.3">
      <c r="A53" s="4"/>
    </row>
    <row r="54" spans="1:11" x14ac:dyDescent="0.3">
      <c r="A54" s="4"/>
    </row>
    <row r="55" spans="1:11" x14ac:dyDescent="0.3">
      <c r="A55" s="1" t="s">
        <v>26</v>
      </c>
    </row>
    <row r="56" spans="1:11" s="7" customFormat="1" x14ac:dyDescent="0.3">
      <c r="A56" s="6" t="s">
        <v>24</v>
      </c>
      <c r="B56" s="5">
        <v>42460</v>
      </c>
      <c r="C56" s="5">
        <v>42825</v>
      </c>
      <c r="D56" s="5">
        <v>43190</v>
      </c>
      <c r="E56" s="5">
        <v>43555</v>
      </c>
      <c r="F56" s="5">
        <v>43921</v>
      </c>
      <c r="G56" s="5">
        <v>44286</v>
      </c>
      <c r="H56" s="5">
        <v>44651</v>
      </c>
      <c r="I56" s="5">
        <v>45016</v>
      </c>
      <c r="J56" s="5">
        <v>45382</v>
      </c>
      <c r="K56" s="5">
        <v>45747</v>
      </c>
    </row>
    <row r="57" spans="1:11" x14ac:dyDescent="0.3">
      <c r="A57" s="4" t="s">
        <v>11</v>
      </c>
      <c r="B57">
        <v>95.92</v>
      </c>
      <c r="C57">
        <v>95.92</v>
      </c>
      <c r="D57">
        <v>95.92</v>
      </c>
      <c r="E57">
        <v>95.92</v>
      </c>
      <c r="F57">
        <v>95.92</v>
      </c>
      <c r="G57">
        <v>95.92</v>
      </c>
      <c r="H57">
        <v>95.92</v>
      </c>
      <c r="I57">
        <v>95.92</v>
      </c>
      <c r="J57">
        <v>95.92</v>
      </c>
      <c r="K57">
        <v>95.92</v>
      </c>
    </row>
    <row r="58" spans="1:11" x14ac:dyDescent="0.3">
      <c r="A58" s="4" t="s">
        <v>12</v>
      </c>
      <c r="B58">
        <v>6428.9</v>
      </c>
      <c r="C58">
        <v>7507.97</v>
      </c>
      <c r="D58">
        <v>8314.31</v>
      </c>
      <c r="E58">
        <v>9374.6299999999992</v>
      </c>
      <c r="F58">
        <v>10034.24</v>
      </c>
      <c r="G58">
        <v>12710.37</v>
      </c>
      <c r="H58">
        <v>13715.64</v>
      </c>
      <c r="I58">
        <v>15896.31</v>
      </c>
      <c r="J58">
        <v>18632.38</v>
      </c>
      <c r="K58">
        <v>19303.89</v>
      </c>
    </row>
    <row r="59" spans="1:11" x14ac:dyDescent="0.3">
      <c r="A59" s="4" t="s">
        <v>36</v>
      </c>
      <c r="B59">
        <v>323.29000000000002</v>
      </c>
      <c r="C59">
        <v>560.34</v>
      </c>
      <c r="D59">
        <v>533.42999999999995</v>
      </c>
      <c r="E59">
        <v>1319.6</v>
      </c>
      <c r="F59">
        <v>1118.5</v>
      </c>
      <c r="G59">
        <v>1093.1199999999999</v>
      </c>
      <c r="H59">
        <v>1586.88</v>
      </c>
      <c r="I59">
        <v>1932.62</v>
      </c>
      <c r="J59">
        <v>2474.38</v>
      </c>
      <c r="K59">
        <v>2290.29</v>
      </c>
    </row>
    <row r="60" spans="1:11" x14ac:dyDescent="0.3">
      <c r="A60" s="4" t="s">
        <v>37</v>
      </c>
      <c r="B60">
        <v>3710.92</v>
      </c>
      <c r="C60">
        <v>4240.96</v>
      </c>
      <c r="D60">
        <v>4819.82</v>
      </c>
      <c r="E60">
        <v>5458.69</v>
      </c>
      <c r="F60">
        <v>4889.3100000000004</v>
      </c>
      <c r="G60">
        <v>6455.93</v>
      </c>
      <c r="H60">
        <v>7559.99</v>
      </c>
      <c r="I60">
        <v>7854.48</v>
      </c>
      <c r="J60">
        <v>8698.09</v>
      </c>
      <c r="K60">
        <v>8665.15</v>
      </c>
    </row>
    <row r="61" spans="1:11" s="1" customFormat="1" x14ac:dyDescent="0.3">
      <c r="A61" s="1" t="s">
        <v>13</v>
      </c>
      <c r="B61">
        <v>10559.03</v>
      </c>
      <c r="C61">
        <v>12405.19</v>
      </c>
      <c r="D61">
        <v>13763.48</v>
      </c>
      <c r="E61">
        <v>16248.84</v>
      </c>
      <c r="F61">
        <v>16137.97</v>
      </c>
      <c r="G61">
        <v>20355.34</v>
      </c>
      <c r="H61">
        <v>22958.43</v>
      </c>
      <c r="I61">
        <v>25779.33</v>
      </c>
      <c r="J61">
        <v>29900.77</v>
      </c>
      <c r="K61">
        <v>30355.25</v>
      </c>
    </row>
    <row r="62" spans="1:11" x14ac:dyDescent="0.3">
      <c r="A62" s="4" t="s">
        <v>14</v>
      </c>
      <c r="B62">
        <v>3416.35</v>
      </c>
      <c r="C62">
        <v>3303.74</v>
      </c>
      <c r="D62">
        <v>3732.24</v>
      </c>
      <c r="E62">
        <v>6496.56</v>
      </c>
      <c r="F62">
        <v>6272.31</v>
      </c>
      <c r="G62">
        <v>5858.52</v>
      </c>
      <c r="H62">
        <v>5519.06</v>
      </c>
      <c r="I62">
        <v>5770.46</v>
      </c>
      <c r="J62">
        <v>7146.62</v>
      </c>
      <c r="K62">
        <v>9220.1</v>
      </c>
    </row>
    <row r="63" spans="1:11" x14ac:dyDescent="0.3">
      <c r="A63" s="4" t="s">
        <v>15</v>
      </c>
      <c r="B63">
        <v>106.59</v>
      </c>
      <c r="C63">
        <v>257.54000000000002</v>
      </c>
      <c r="D63">
        <v>1405.11</v>
      </c>
      <c r="E63">
        <v>209.67</v>
      </c>
      <c r="F63">
        <v>140.24</v>
      </c>
      <c r="G63">
        <v>182.98</v>
      </c>
      <c r="H63">
        <v>426.43</v>
      </c>
      <c r="I63">
        <v>1019.59</v>
      </c>
      <c r="J63">
        <v>2698.37</v>
      </c>
      <c r="K63">
        <v>1254.49</v>
      </c>
    </row>
    <row r="64" spans="1:11" x14ac:dyDescent="0.3">
      <c r="A64" s="4" t="s">
        <v>16</v>
      </c>
      <c r="B64">
        <v>2712.13</v>
      </c>
      <c r="C64">
        <v>2651.99</v>
      </c>
      <c r="D64">
        <v>2140.6999999999998</v>
      </c>
      <c r="E64">
        <v>2568.58</v>
      </c>
      <c r="F64">
        <v>2018.85</v>
      </c>
      <c r="G64">
        <v>4736.8</v>
      </c>
      <c r="H64">
        <v>3247.53</v>
      </c>
      <c r="I64">
        <v>4261.71</v>
      </c>
      <c r="J64">
        <v>4587.92</v>
      </c>
      <c r="K64">
        <v>4724.75</v>
      </c>
    </row>
    <row r="65" spans="1:11" x14ac:dyDescent="0.3">
      <c r="A65" s="4" t="s">
        <v>38</v>
      </c>
      <c r="B65" s="49">
        <v>4324</v>
      </c>
      <c r="C65">
        <v>6191.92</v>
      </c>
      <c r="D65">
        <v>6485.43</v>
      </c>
      <c r="E65">
        <v>6974.03</v>
      </c>
      <c r="F65">
        <v>7706.57</v>
      </c>
      <c r="G65">
        <v>9577.0400000000009</v>
      </c>
      <c r="H65">
        <v>13765.41</v>
      </c>
      <c r="I65">
        <v>14727.57</v>
      </c>
      <c r="J65">
        <v>15467.86</v>
      </c>
      <c r="K65">
        <v>15155.91</v>
      </c>
    </row>
    <row r="66" spans="1:11" s="1" customFormat="1" x14ac:dyDescent="0.3">
      <c r="A66" s="1" t="s">
        <v>13</v>
      </c>
      <c r="B66">
        <v>10559.03</v>
      </c>
      <c r="C66">
        <v>12405.19</v>
      </c>
      <c r="D66">
        <v>13763.48</v>
      </c>
      <c r="E66">
        <v>16248.84</v>
      </c>
      <c r="F66">
        <v>16137.97</v>
      </c>
      <c r="G66">
        <v>20355.34</v>
      </c>
      <c r="H66">
        <v>22958.43</v>
      </c>
      <c r="I66">
        <v>25779.33</v>
      </c>
      <c r="J66">
        <v>29900.77</v>
      </c>
      <c r="K66">
        <v>30355.25</v>
      </c>
    </row>
    <row r="67" spans="1:11" s="4" customFormat="1" x14ac:dyDescent="0.3">
      <c r="A67" s="4" t="s">
        <v>43</v>
      </c>
      <c r="B67">
        <v>1186.8399999999999</v>
      </c>
      <c r="C67">
        <v>1446.6</v>
      </c>
      <c r="D67">
        <v>1730.63</v>
      </c>
      <c r="E67">
        <v>1907.33</v>
      </c>
      <c r="F67">
        <v>1795.22</v>
      </c>
      <c r="G67">
        <v>2602.17</v>
      </c>
      <c r="H67">
        <v>3871.44</v>
      </c>
      <c r="I67">
        <v>4636.9399999999996</v>
      </c>
      <c r="J67">
        <v>4889.05</v>
      </c>
      <c r="K67">
        <v>4313.6499999999996</v>
      </c>
    </row>
    <row r="68" spans="1:11" x14ac:dyDescent="0.3">
      <c r="A68" s="4" t="s">
        <v>30</v>
      </c>
      <c r="B68">
        <v>1998.24</v>
      </c>
      <c r="C68">
        <v>2626.94</v>
      </c>
      <c r="D68">
        <v>2658.31</v>
      </c>
      <c r="E68">
        <v>3149.86</v>
      </c>
      <c r="F68">
        <v>3389.81</v>
      </c>
      <c r="G68">
        <v>3798.6</v>
      </c>
      <c r="H68">
        <v>6152.98</v>
      </c>
      <c r="I68">
        <v>6210.64</v>
      </c>
      <c r="J68">
        <v>5923.41</v>
      </c>
      <c r="K68">
        <v>6719.27</v>
      </c>
    </row>
    <row r="69" spans="1:11" x14ac:dyDescent="0.3">
      <c r="A69" s="3" t="s">
        <v>52</v>
      </c>
      <c r="B69">
        <v>424.2</v>
      </c>
      <c r="C69">
        <v>801.21</v>
      </c>
      <c r="D69">
        <v>404.65</v>
      </c>
      <c r="E69">
        <v>444.88</v>
      </c>
      <c r="F69">
        <v>782.83</v>
      </c>
      <c r="G69">
        <v>610.75</v>
      </c>
      <c r="H69">
        <v>864.33</v>
      </c>
      <c r="I69">
        <v>843.82</v>
      </c>
      <c r="J69">
        <v>1084.01</v>
      </c>
      <c r="K69">
        <v>781.98</v>
      </c>
    </row>
    <row r="70" spans="1:11" x14ac:dyDescent="0.3">
      <c r="A70" s="3" t="s">
        <v>39</v>
      </c>
      <c r="B70">
        <v>959197790</v>
      </c>
      <c r="C70">
        <v>959197790</v>
      </c>
      <c r="D70">
        <v>959197790</v>
      </c>
      <c r="E70">
        <v>959197790</v>
      </c>
      <c r="F70">
        <v>959197790</v>
      </c>
      <c r="G70">
        <v>959197790</v>
      </c>
      <c r="H70">
        <v>959197790</v>
      </c>
      <c r="I70">
        <v>959197790</v>
      </c>
      <c r="J70">
        <v>959197790</v>
      </c>
      <c r="K70">
        <v>959197790</v>
      </c>
    </row>
    <row r="71" spans="1:11" x14ac:dyDescent="0.3">
      <c r="A71" s="3" t="s">
        <v>40</v>
      </c>
    </row>
    <row r="72" spans="1:11" x14ac:dyDescent="0.3">
      <c r="A72" s="3" t="s">
        <v>53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4" t="s">
        <v>38</v>
      </c>
      <c r="B74" s="3">
        <f>B65-SUM(B67:B69)</f>
        <v>714.72000000000025</v>
      </c>
      <c r="C74" s="3">
        <f t="shared" ref="C74:K74" si="2">C65-SUM(C67:C69)</f>
        <v>1317.17</v>
      </c>
      <c r="D74" s="3">
        <f t="shared" si="2"/>
        <v>1691.8400000000001</v>
      </c>
      <c r="E74" s="3">
        <f t="shared" si="2"/>
        <v>1471.9599999999991</v>
      </c>
      <c r="F74" s="3">
        <f t="shared" si="2"/>
        <v>1738.71</v>
      </c>
      <c r="G74" s="3">
        <f t="shared" si="2"/>
        <v>2565.5200000000004</v>
      </c>
      <c r="H74" s="3">
        <f t="shared" si="2"/>
        <v>2876.66</v>
      </c>
      <c r="I74" s="3">
        <f t="shared" si="2"/>
        <v>3036.17</v>
      </c>
      <c r="J74" s="3">
        <f t="shared" si="2"/>
        <v>3571.3900000000012</v>
      </c>
      <c r="K74" s="3">
        <f t="shared" si="2"/>
        <v>3341.01</v>
      </c>
    </row>
    <row r="75" spans="1:11" x14ac:dyDescent="0.3">
      <c r="A75" s="4"/>
    </row>
    <row r="76" spans="1:11" x14ac:dyDescent="0.3">
      <c r="A76" s="4" t="s">
        <v>83</v>
      </c>
      <c r="B76" s="3">
        <f>B61</f>
        <v>10559.03</v>
      </c>
      <c r="C76" s="3">
        <f t="shared" ref="C76:K76" si="3">C61</f>
        <v>12405.19</v>
      </c>
      <c r="D76" s="3">
        <f t="shared" si="3"/>
        <v>13763.48</v>
      </c>
      <c r="E76" s="3">
        <f t="shared" si="3"/>
        <v>16248.84</v>
      </c>
      <c r="F76" s="3">
        <f t="shared" si="3"/>
        <v>16137.97</v>
      </c>
      <c r="G76" s="3">
        <f t="shared" si="3"/>
        <v>20355.34</v>
      </c>
      <c r="H76" s="3">
        <f t="shared" si="3"/>
        <v>22958.43</v>
      </c>
      <c r="I76" s="3">
        <f t="shared" si="3"/>
        <v>25779.33</v>
      </c>
      <c r="J76" s="3">
        <f t="shared" si="3"/>
        <v>29900.77</v>
      </c>
      <c r="K76" s="3">
        <f t="shared" si="3"/>
        <v>30355.25</v>
      </c>
    </row>
    <row r="77" spans="1:11" x14ac:dyDescent="0.3">
      <c r="A77" s="4"/>
    </row>
    <row r="78" spans="1:11" x14ac:dyDescent="0.3">
      <c r="A78" s="4"/>
    </row>
    <row r="79" spans="1:11" x14ac:dyDescent="0.3">
      <c r="A79" s="4"/>
    </row>
    <row r="80" spans="1:11" x14ac:dyDescent="0.3">
      <c r="A80" s="1" t="s">
        <v>27</v>
      </c>
    </row>
    <row r="81" spans="1:11" s="7" customFormat="1" x14ac:dyDescent="0.3">
      <c r="A81" s="6" t="s">
        <v>24</v>
      </c>
      <c r="B81" s="5">
        <v>42460</v>
      </c>
      <c r="C81" s="5">
        <v>42825</v>
      </c>
      <c r="D81" s="5">
        <v>43190</v>
      </c>
      <c r="E81" s="5">
        <v>43555</v>
      </c>
      <c r="F81" s="5">
        <v>43921</v>
      </c>
      <c r="G81" s="5">
        <v>44286</v>
      </c>
      <c r="H81" s="5">
        <v>44651</v>
      </c>
      <c r="I81" s="5">
        <v>45016</v>
      </c>
      <c r="J81" s="5">
        <v>45382</v>
      </c>
      <c r="K81" s="5">
        <v>45747</v>
      </c>
    </row>
    <row r="82" spans="1:11" s="1" customFormat="1" x14ac:dyDescent="0.3">
      <c r="A82" s="4" t="s">
        <v>18</v>
      </c>
      <c r="B82">
        <v>2242.9499999999998</v>
      </c>
      <c r="C82">
        <v>1527.33</v>
      </c>
      <c r="D82">
        <v>2113.44</v>
      </c>
      <c r="E82">
        <v>2469.54</v>
      </c>
      <c r="F82">
        <v>2631.89</v>
      </c>
      <c r="G82">
        <v>3683.35</v>
      </c>
      <c r="H82">
        <v>986.49</v>
      </c>
      <c r="I82">
        <v>4193.43</v>
      </c>
      <c r="J82">
        <v>6103.6</v>
      </c>
      <c r="K82">
        <v>4423.96</v>
      </c>
    </row>
    <row r="83" spans="1:11" s="4" customFormat="1" x14ac:dyDescent="0.3">
      <c r="A83" s="4" t="s">
        <v>19</v>
      </c>
      <c r="B83">
        <v>-866.21</v>
      </c>
      <c r="C83">
        <v>-681.11</v>
      </c>
      <c r="D83">
        <v>-1556.14</v>
      </c>
      <c r="E83">
        <v>-917.79</v>
      </c>
      <c r="F83">
        <v>-517.91</v>
      </c>
      <c r="G83">
        <v>-540.54</v>
      </c>
      <c r="H83">
        <v>-316.75</v>
      </c>
      <c r="I83">
        <v>-1282.3399999999999</v>
      </c>
      <c r="J83">
        <v>-2548.48</v>
      </c>
      <c r="K83">
        <v>-940.91</v>
      </c>
    </row>
    <row r="84" spans="1:11" s="4" customFormat="1" x14ac:dyDescent="0.3">
      <c r="A84" s="4" t="s">
        <v>20</v>
      </c>
      <c r="B84">
        <v>-848.98</v>
      </c>
      <c r="C84">
        <v>-756.43</v>
      </c>
      <c r="D84">
        <v>-1379.14</v>
      </c>
      <c r="E84">
        <v>-1117.46</v>
      </c>
      <c r="F84">
        <v>-2465.1999999999998</v>
      </c>
      <c r="G84">
        <v>-650.4</v>
      </c>
      <c r="H84">
        <v>-1807.61</v>
      </c>
      <c r="I84">
        <v>-2140.0500000000002</v>
      </c>
      <c r="J84">
        <v>-2982.5</v>
      </c>
      <c r="K84">
        <v>-3752.58</v>
      </c>
    </row>
    <row r="85" spans="1:11" s="1" customFormat="1" x14ac:dyDescent="0.3">
      <c r="A85" s="4" t="s">
        <v>21</v>
      </c>
      <c r="B85">
        <v>527.76</v>
      </c>
      <c r="C85">
        <v>89.79</v>
      </c>
      <c r="D85">
        <v>-821.84</v>
      </c>
      <c r="E85">
        <v>434.29</v>
      </c>
      <c r="F85">
        <v>-351.22</v>
      </c>
      <c r="G85">
        <v>2492.41</v>
      </c>
      <c r="H85">
        <v>-1137.8699999999999</v>
      </c>
      <c r="I85">
        <v>771.04</v>
      </c>
      <c r="J85">
        <v>572.62</v>
      </c>
      <c r="K85">
        <v>-269.52999999999997</v>
      </c>
    </row>
    <row r="86" spans="1:11" x14ac:dyDescent="0.3">
      <c r="A86" s="4"/>
    </row>
    <row r="87" spans="1:11" x14ac:dyDescent="0.3">
      <c r="A87" s="4"/>
    </row>
    <row r="88" spans="1:11" x14ac:dyDescent="0.3">
      <c r="A88" s="4"/>
    </row>
    <row r="89" spans="1:11" x14ac:dyDescent="0.3">
      <c r="A89" s="4"/>
    </row>
    <row r="90" spans="1:11" s="1" customFormat="1" x14ac:dyDescent="0.3">
      <c r="A90" s="1" t="s">
        <v>42</v>
      </c>
      <c r="B90">
        <v>868.4</v>
      </c>
      <c r="C90">
        <v>1073.5</v>
      </c>
      <c r="D90">
        <v>1120.4000000000001</v>
      </c>
      <c r="E90">
        <v>1492.7</v>
      </c>
      <c r="F90">
        <v>1666.5</v>
      </c>
      <c r="G90">
        <v>2537.4</v>
      </c>
      <c r="H90">
        <v>3079.95</v>
      </c>
      <c r="I90">
        <v>2761.65</v>
      </c>
      <c r="J90">
        <v>2846.75</v>
      </c>
      <c r="K90">
        <v>2340.65</v>
      </c>
    </row>
    <row r="92" spans="1:11" s="1" customFormat="1" x14ac:dyDescent="0.3">
      <c r="A92" s="1" t="s">
        <v>41</v>
      </c>
    </row>
    <row r="93" spans="1:11" x14ac:dyDescent="0.3">
      <c r="A93" s="3" t="s">
        <v>54</v>
      </c>
      <c r="B93" s="8">
        <v>95.92</v>
      </c>
      <c r="C93" s="8">
        <v>95.92</v>
      </c>
      <c r="D93" s="8">
        <v>95.92</v>
      </c>
      <c r="E93" s="8">
        <v>95.92</v>
      </c>
      <c r="F93" s="8">
        <v>95.92</v>
      </c>
      <c r="G93" s="8">
        <v>95.92</v>
      </c>
      <c r="H93" s="8">
        <v>95.92</v>
      </c>
      <c r="I93" s="8">
        <v>95.92</v>
      </c>
      <c r="J93" s="8">
        <v>95.92</v>
      </c>
      <c r="K93" s="8">
        <v>95.92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6C795-48B1-4101-B422-5CD420367805}">
  <dimension ref="A2:O40"/>
  <sheetViews>
    <sheetView showGridLines="0" workbookViewId="0">
      <pane ySplit="2" topLeftCell="A15" activePane="bottomLeft" state="frozen"/>
      <selection pane="bottomLeft" activeCell="P18" sqref="P18"/>
    </sheetView>
  </sheetViews>
  <sheetFormatPr defaultRowHeight="14.4" x14ac:dyDescent="0.3"/>
  <cols>
    <col min="1" max="1" width="1.88671875" style="123" customWidth="1"/>
    <col min="2" max="2" width="22.77734375" style="125" bestFit="1" customWidth="1"/>
    <col min="3" max="16384" width="8.88671875" style="125"/>
  </cols>
  <sheetData>
    <row r="2" spans="2:15" x14ac:dyDescent="0.3">
      <c r="B2" s="124" t="s">
        <v>156</v>
      </c>
      <c r="C2" s="134">
        <v>41699</v>
      </c>
      <c r="D2" s="134">
        <v>42064</v>
      </c>
      <c r="E2" s="134">
        <v>42430</v>
      </c>
      <c r="F2" s="134">
        <v>42795</v>
      </c>
      <c r="G2" s="134">
        <v>43160</v>
      </c>
      <c r="H2" s="134">
        <v>43525</v>
      </c>
      <c r="I2" s="134">
        <v>43891</v>
      </c>
      <c r="J2" s="134">
        <v>44256</v>
      </c>
      <c r="K2" s="134">
        <v>44621</v>
      </c>
      <c r="L2" s="134">
        <v>44986</v>
      </c>
      <c r="M2" s="134">
        <v>45352</v>
      </c>
      <c r="N2" s="134">
        <v>45717</v>
      </c>
    </row>
    <row r="4" spans="2:15" x14ac:dyDescent="0.3">
      <c r="B4" s="126" t="s">
        <v>247</v>
      </c>
      <c r="C4" s="127">
        <v>96</v>
      </c>
      <c r="D4" s="127">
        <v>96</v>
      </c>
      <c r="E4" s="127">
        <v>96</v>
      </c>
      <c r="F4" s="127">
        <v>96</v>
      </c>
      <c r="G4" s="127">
        <v>96</v>
      </c>
      <c r="H4" s="127">
        <v>96</v>
      </c>
      <c r="I4" s="127">
        <v>96</v>
      </c>
      <c r="J4" s="127">
        <v>96</v>
      </c>
      <c r="K4" s="127">
        <v>96</v>
      </c>
      <c r="L4" s="127">
        <v>96</v>
      </c>
      <c r="M4" s="127">
        <v>96</v>
      </c>
      <c r="N4" s="127">
        <v>96</v>
      </c>
    </row>
    <row r="5" spans="2:15" x14ac:dyDescent="0.3">
      <c r="B5" s="126" t="s">
        <v>248</v>
      </c>
      <c r="C5" s="127">
        <v>3943</v>
      </c>
      <c r="D5" s="127">
        <v>4646</v>
      </c>
      <c r="E5" s="127">
        <v>6429</v>
      </c>
      <c r="F5" s="127">
        <v>7508</v>
      </c>
      <c r="G5" s="127">
        <v>8314</v>
      </c>
      <c r="H5" s="127">
        <v>9375</v>
      </c>
      <c r="I5" s="127">
        <v>10034</v>
      </c>
      <c r="J5" s="127">
        <v>12710</v>
      </c>
      <c r="K5" s="127">
        <v>13716</v>
      </c>
      <c r="L5" s="127">
        <v>15896</v>
      </c>
      <c r="M5" s="127">
        <v>18632</v>
      </c>
      <c r="N5" s="127">
        <v>19304</v>
      </c>
    </row>
    <row r="6" spans="2:15" x14ac:dyDescent="0.3">
      <c r="B6" s="126" t="s">
        <v>275</v>
      </c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</row>
    <row r="7" spans="2:15" x14ac:dyDescent="0.3">
      <c r="B7" s="125" t="s">
        <v>249</v>
      </c>
      <c r="C7" s="127">
        <v>41</v>
      </c>
      <c r="D7" s="127">
        <v>78</v>
      </c>
      <c r="E7" s="127">
        <v>73</v>
      </c>
      <c r="F7" s="127">
        <v>41</v>
      </c>
      <c r="G7" s="127">
        <v>28</v>
      </c>
      <c r="H7" s="127">
        <v>19</v>
      </c>
      <c r="I7" s="127">
        <v>19</v>
      </c>
      <c r="J7" s="127">
        <v>15</v>
      </c>
      <c r="K7" s="127">
        <v>45</v>
      </c>
      <c r="L7" s="127">
        <v>76</v>
      </c>
      <c r="M7" s="127">
        <v>54</v>
      </c>
      <c r="N7" s="127">
        <v>260</v>
      </c>
    </row>
    <row r="8" spans="2:15" x14ac:dyDescent="0.3">
      <c r="B8" s="125" t="s">
        <v>250</v>
      </c>
      <c r="C8" s="127">
        <v>199</v>
      </c>
      <c r="D8" s="127">
        <v>332</v>
      </c>
      <c r="E8" s="127">
        <v>231</v>
      </c>
      <c r="F8" s="127">
        <v>504</v>
      </c>
      <c r="G8" s="127">
        <v>492</v>
      </c>
      <c r="H8" s="127">
        <v>597</v>
      </c>
      <c r="I8" s="127">
        <v>321</v>
      </c>
      <c r="J8" s="127">
        <v>326</v>
      </c>
      <c r="K8" s="127">
        <v>731</v>
      </c>
      <c r="L8" s="127">
        <v>896</v>
      </c>
      <c r="M8" s="127">
        <v>1053</v>
      </c>
      <c r="N8" s="127">
        <v>604</v>
      </c>
    </row>
    <row r="9" spans="2:15" x14ac:dyDescent="0.3">
      <c r="B9" s="125" t="s">
        <v>251</v>
      </c>
      <c r="C9" s="127">
        <v>0</v>
      </c>
      <c r="D9" s="127">
        <v>0</v>
      </c>
      <c r="E9" s="127">
        <v>0</v>
      </c>
      <c r="F9" s="127">
        <v>0</v>
      </c>
      <c r="G9" s="127">
        <v>0</v>
      </c>
      <c r="H9" s="127">
        <v>693</v>
      </c>
      <c r="I9" s="127">
        <v>764</v>
      </c>
      <c r="J9" s="127">
        <v>745</v>
      </c>
      <c r="K9" s="127">
        <v>811</v>
      </c>
      <c r="L9" s="127">
        <v>960</v>
      </c>
      <c r="M9" s="127">
        <v>1367</v>
      </c>
      <c r="N9" s="127">
        <v>1427</v>
      </c>
    </row>
    <row r="10" spans="2:15" x14ac:dyDescent="0.3">
      <c r="B10" s="125" t="s">
        <v>252</v>
      </c>
      <c r="C10" s="127">
        <v>9</v>
      </c>
      <c r="D10" s="127">
        <v>8</v>
      </c>
      <c r="E10" s="127">
        <v>20</v>
      </c>
      <c r="F10" s="127">
        <v>15</v>
      </c>
      <c r="G10" s="127">
        <v>13</v>
      </c>
      <c r="H10" s="127">
        <v>11</v>
      </c>
      <c r="I10" s="127">
        <v>15</v>
      </c>
      <c r="J10" s="127">
        <v>8</v>
      </c>
      <c r="K10" s="127">
        <v>0</v>
      </c>
      <c r="L10" s="127">
        <v>0</v>
      </c>
      <c r="M10" s="127">
        <v>0</v>
      </c>
      <c r="N10" s="127">
        <v>0</v>
      </c>
    </row>
    <row r="11" spans="2:15" x14ac:dyDescent="0.3">
      <c r="B11" s="126" t="s">
        <v>276</v>
      </c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</row>
    <row r="12" spans="2:15" x14ac:dyDescent="0.3">
      <c r="B12" s="125" t="s">
        <v>253</v>
      </c>
      <c r="C12" s="127">
        <v>246</v>
      </c>
      <c r="D12" s="127">
        <v>264</v>
      </c>
      <c r="E12" s="127">
        <v>384</v>
      </c>
      <c r="F12" s="127">
        <v>375</v>
      </c>
      <c r="G12" s="127">
        <v>328</v>
      </c>
      <c r="H12" s="127">
        <v>361</v>
      </c>
      <c r="I12" s="127">
        <v>404</v>
      </c>
      <c r="J12" s="127">
        <v>423</v>
      </c>
      <c r="K12" s="127">
        <v>388</v>
      </c>
      <c r="L12" s="127">
        <v>454</v>
      </c>
      <c r="M12" s="127">
        <v>695</v>
      </c>
      <c r="N12" s="127">
        <v>659</v>
      </c>
    </row>
    <row r="13" spans="2:15" x14ac:dyDescent="0.3">
      <c r="B13" s="125" t="s">
        <v>254</v>
      </c>
      <c r="C13" s="127">
        <v>1746</v>
      </c>
      <c r="D13" s="127">
        <v>1549</v>
      </c>
      <c r="E13" s="127">
        <v>1565</v>
      </c>
      <c r="F13" s="127">
        <v>1923</v>
      </c>
      <c r="G13" s="127">
        <v>2160</v>
      </c>
      <c r="H13" s="127">
        <v>2394</v>
      </c>
      <c r="I13" s="127">
        <v>2137</v>
      </c>
      <c r="J13" s="127">
        <v>3379</v>
      </c>
      <c r="K13" s="127">
        <v>4164</v>
      </c>
      <c r="L13" s="127">
        <v>3635</v>
      </c>
      <c r="M13" s="127">
        <v>3831</v>
      </c>
      <c r="N13" s="127">
        <v>3848</v>
      </c>
    </row>
    <row r="14" spans="2:15" x14ac:dyDescent="0.3">
      <c r="B14" s="125" t="s">
        <v>255</v>
      </c>
      <c r="C14" s="127">
        <v>0</v>
      </c>
      <c r="D14" s="127">
        <v>5</v>
      </c>
      <c r="E14" s="127">
        <v>12</v>
      </c>
      <c r="F14" s="127">
        <v>17</v>
      </c>
      <c r="G14" s="127">
        <v>16</v>
      </c>
      <c r="H14" s="127">
        <v>13</v>
      </c>
      <c r="I14" s="127">
        <v>29</v>
      </c>
      <c r="J14" s="127">
        <v>41</v>
      </c>
      <c r="K14" s="127">
        <v>76</v>
      </c>
      <c r="L14" s="127">
        <v>108</v>
      </c>
      <c r="M14" s="127">
        <v>154</v>
      </c>
      <c r="N14" s="127">
        <v>173</v>
      </c>
    </row>
    <row r="15" spans="2:15" x14ac:dyDescent="0.3">
      <c r="B15" s="125" t="s">
        <v>256</v>
      </c>
      <c r="C15" s="128">
        <v>1795</v>
      </c>
      <c r="D15" s="128">
        <v>1937</v>
      </c>
      <c r="E15" s="128">
        <v>1750</v>
      </c>
      <c r="F15" s="128">
        <v>1925</v>
      </c>
      <c r="G15" s="128">
        <v>2316</v>
      </c>
      <c r="H15" s="128">
        <v>2690</v>
      </c>
      <c r="I15" s="128">
        <v>2320</v>
      </c>
      <c r="J15" s="128">
        <v>2613</v>
      </c>
      <c r="K15" s="128">
        <v>2932</v>
      </c>
      <c r="L15" s="128">
        <v>3657</v>
      </c>
      <c r="M15" s="128">
        <v>4017</v>
      </c>
      <c r="N15" s="128">
        <v>3985</v>
      </c>
    </row>
    <row r="16" spans="2:15" x14ac:dyDescent="0.3">
      <c r="B16" s="129" t="s">
        <v>257</v>
      </c>
      <c r="C16" s="129">
        <v>8075</v>
      </c>
      <c r="D16" s="129">
        <v>8914</v>
      </c>
      <c r="E16" s="129">
        <v>10559</v>
      </c>
      <c r="F16" s="129">
        <v>12405</v>
      </c>
      <c r="G16" s="129">
        <v>13763</v>
      </c>
      <c r="H16" s="129">
        <v>16249</v>
      </c>
      <c r="I16" s="129">
        <v>16138</v>
      </c>
      <c r="J16" s="129">
        <v>20355</v>
      </c>
      <c r="K16" s="129">
        <v>22958</v>
      </c>
      <c r="L16" s="129">
        <v>25779</v>
      </c>
      <c r="M16" s="129">
        <v>29901</v>
      </c>
      <c r="N16" s="129">
        <v>30355</v>
      </c>
      <c r="O16" s="126"/>
    </row>
    <row r="17" spans="2:15" x14ac:dyDescent="0.3"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</row>
    <row r="18" spans="2:15" x14ac:dyDescent="0.3">
      <c r="B18" s="126" t="s">
        <v>277</v>
      </c>
    </row>
    <row r="19" spans="2:15" x14ac:dyDescent="0.3">
      <c r="B19" s="125" t="s">
        <v>258</v>
      </c>
      <c r="C19" s="127">
        <v>247</v>
      </c>
      <c r="D19" s="127">
        <v>251</v>
      </c>
      <c r="E19" s="127">
        <v>429</v>
      </c>
      <c r="F19" s="127">
        <v>408</v>
      </c>
      <c r="G19" s="127">
        <v>586</v>
      </c>
      <c r="H19" s="127">
        <v>605</v>
      </c>
      <c r="I19" s="127">
        <v>640</v>
      </c>
      <c r="J19" s="127">
        <v>644</v>
      </c>
      <c r="K19" s="127">
        <v>644</v>
      </c>
      <c r="L19" s="127">
        <v>804</v>
      </c>
      <c r="M19" s="127">
        <v>1126</v>
      </c>
      <c r="N19" s="127">
        <v>1050</v>
      </c>
    </row>
    <row r="20" spans="2:15" x14ac:dyDescent="0.3">
      <c r="B20" s="125" t="s">
        <v>259</v>
      </c>
      <c r="C20" s="127">
        <v>931</v>
      </c>
      <c r="D20" s="127">
        <v>962</v>
      </c>
      <c r="E20" s="127">
        <v>923</v>
      </c>
      <c r="F20" s="127">
        <v>931</v>
      </c>
      <c r="G20" s="127">
        <v>957</v>
      </c>
      <c r="H20" s="127">
        <v>2402</v>
      </c>
      <c r="I20" s="127">
        <v>2257</v>
      </c>
      <c r="J20" s="127">
        <v>2249</v>
      </c>
      <c r="K20" s="127">
        <v>2325</v>
      </c>
      <c r="L20" s="127">
        <v>2883</v>
      </c>
      <c r="M20" s="127">
        <v>3390</v>
      </c>
      <c r="N20" s="127">
        <v>4136</v>
      </c>
    </row>
    <row r="21" spans="2:15" x14ac:dyDescent="0.3">
      <c r="B21" s="125" t="s">
        <v>260</v>
      </c>
      <c r="C21" s="127">
        <v>2054</v>
      </c>
      <c r="D21" s="127">
        <v>2132</v>
      </c>
      <c r="E21" s="127">
        <v>1793</v>
      </c>
      <c r="F21" s="127">
        <v>1980</v>
      </c>
      <c r="G21" s="127">
        <v>2157</v>
      </c>
      <c r="H21" s="127">
        <v>4006</v>
      </c>
      <c r="I21" s="127">
        <v>4208</v>
      </c>
      <c r="J21" s="127">
        <v>4340</v>
      </c>
      <c r="K21" s="127">
        <v>4531</v>
      </c>
      <c r="L21" s="127">
        <v>4825</v>
      </c>
      <c r="M21" s="127">
        <v>5422</v>
      </c>
      <c r="N21" s="127">
        <v>7576</v>
      </c>
    </row>
    <row r="22" spans="2:15" x14ac:dyDescent="0.3">
      <c r="B22" s="125" t="s">
        <v>261</v>
      </c>
      <c r="C22" s="127">
        <v>155</v>
      </c>
      <c r="D22" s="127">
        <v>171</v>
      </c>
      <c r="E22" s="127">
        <v>97</v>
      </c>
      <c r="F22" s="127">
        <v>119</v>
      </c>
      <c r="G22" s="127">
        <v>200</v>
      </c>
      <c r="H22" s="127">
        <v>221</v>
      </c>
      <c r="I22" s="127">
        <v>241</v>
      </c>
      <c r="J22" s="127">
        <v>243</v>
      </c>
      <c r="K22" s="127">
        <v>253</v>
      </c>
      <c r="L22" s="127">
        <v>270</v>
      </c>
      <c r="M22" s="127">
        <v>298</v>
      </c>
      <c r="N22" s="127">
        <v>325</v>
      </c>
    </row>
    <row r="23" spans="2:15" x14ac:dyDescent="0.3">
      <c r="B23" s="125" t="s">
        <v>262</v>
      </c>
      <c r="C23" s="127">
        <v>71</v>
      </c>
      <c r="D23" s="127">
        <v>83</v>
      </c>
      <c r="E23" s="127">
        <v>49</v>
      </c>
      <c r="F23" s="127">
        <v>59</v>
      </c>
      <c r="G23" s="127">
        <v>72</v>
      </c>
      <c r="H23" s="127">
        <v>88</v>
      </c>
      <c r="I23" s="127">
        <v>94</v>
      </c>
      <c r="J23" s="127">
        <v>99</v>
      </c>
      <c r="K23" s="127">
        <v>113</v>
      </c>
      <c r="L23" s="127">
        <v>146</v>
      </c>
      <c r="M23" s="127">
        <v>175</v>
      </c>
      <c r="N23" s="127">
        <v>203</v>
      </c>
    </row>
    <row r="24" spans="2:15" x14ac:dyDescent="0.3">
      <c r="B24" s="125" t="s">
        <v>263</v>
      </c>
      <c r="C24" s="127">
        <v>14</v>
      </c>
      <c r="D24" s="127">
        <v>18</v>
      </c>
      <c r="E24" s="127">
        <v>11</v>
      </c>
      <c r="F24" s="127">
        <v>14</v>
      </c>
      <c r="G24" s="127">
        <v>27</v>
      </c>
      <c r="H24" s="127">
        <v>47</v>
      </c>
      <c r="I24" s="127">
        <v>43</v>
      </c>
      <c r="J24" s="127">
        <v>38</v>
      </c>
      <c r="K24" s="127">
        <v>32</v>
      </c>
      <c r="L24" s="127">
        <v>36</v>
      </c>
      <c r="M24" s="127">
        <v>40</v>
      </c>
      <c r="N24" s="127">
        <v>39</v>
      </c>
    </row>
    <row r="25" spans="2:15" x14ac:dyDescent="0.3">
      <c r="B25" s="125" t="s">
        <v>264</v>
      </c>
      <c r="C25" s="127">
        <v>203</v>
      </c>
      <c r="D25" s="127">
        <v>351</v>
      </c>
      <c r="E25" s="127">
        <v>339</v>
      </c>
      <c r="F25" s="127">
        <v>276</v>
      </c>
      <c r="G25" s="127">
        <v>468</v>
      </c>
      <c r="H25" s="127">
        <v>512</v>
      </c>
      <c r="I25" s="127">
        <v>505</v>
      </c>
      <c r="J25" s="127">
        <v>476</v>
      </c>
      <c r="K25" s="127">
        <v>345</v>
      </c>
      <c r="L25" s="127">
        <v>422</v>
      </c>
      <c r="M25" s="127">
        <v>850</v>
      </c>
      <c r="N25" s="127">
        <v>827</v>
      </c>
    </row>
    <row r="26" spans="2:15" x14ac:dyDescent="0.3">
      <c r="B26" s="125" t="s">
        <v>265</v>
      </c>
      <c r="C26" s="127">
        <v>128</v>
      </c>
      <c r="D26" s="127">
        <v>145</v>
      </c>
      <c r="E26" s="127">
        <v>103</v>
      </c>
      <c r="F26" s="127">
        <v>128</v>
      </c>
      <c r="G26" s="127">
        <v>238</v>
      </c>
      <c r="H26" s="127">
        <v>261</v>
      </c>
      <c r="I26" s="127">
        <v>293</v>
      </c>
      <c r="J26" s="127">
        <v>302</v>
      </c>
      <c r="K26" s="127">
        <v>294</v>
      </c>
      <c r="L26" s="127">
        <v>289</v>
      </c>
      <c r="M26" s="127">
        <v>321</v>
      </c>
      <c r="N26" s="127">
        <v>328</v>
      </c>
    </row>
    <row r="27" spans="2:15" x14ac:dyDescent="0.3">
      <c r="B27" s="126" t="s">
        <v>266</v>
      </c>
      <c r="C27" s="127">
        <v>3804</v>
      </c>
      <c r="D27" s="127">
        <v>4112</v>
      </c>
      <c r="E27" s="127">
        <v>3744</v>
      </c>
      <c r="F27" s="127">
        <v>3914</v>
      </c>
      <c r="G27" s="127">
        <v>4705</v>
      </c>
      <c r="H27" s="127">
        <v>8141</v>
      </c>
      <c r="I27" s="127">
        <v>8282</v>
      </c>
      <c r="J27" s="127">
        <v>8392</v>
      </c>
      <c r="K27" s="127">
        <v>8538</v>
      </c>
      <c r="L27" s="127">
        <v>9676</v>
      </c>
      <c r="M27" s="127">
        <v>11622</v>
      </c>
      <c r="N27" s="127">
        <v>14484</v>
      </c>
    </row>
    <row r="28" spans="2:15" x14ac:dyDescent="0.3">
      <c r="B28" s="126" t="s">
        <v>267</v>
      </c>
      <c r="C28" s="128">
        <v>1242</v>
      </c>
      <c r="D28" s="128">
        <v>1452</v>
      </c>
      <c r="E28" s="128">
        <v>327</v>
      </c>
      <c r="F28" s="128">
        <v>610</v>
      </c>
      <c r="G28" s="128">
        <v>973</v>
      </c>
      <c r="H28" s="128">
        <v>1644</v>
      </c>
      <c r="I28" s="128">
        <v>2010</v>
      </c>
      <c r="J28" s="128">
        <v>2533</v>
      </c>
      <c r="K28" s="128">
        <v>3019</v>
      </c>
      <c r="L28" s="128">
        <v>3905</v>
      </c>
      <c r="M28" s="128">
        <v>4475</v>
      </c>
      <c r="N28" s="128">
        <v>5264</v>
      </c>
    </row>
    <row r="29" spans="2:15" x14ac:dyDescent="0.3">
      <c r="B29" s="131" t="s">
        <v>14</v>
      </c>
      <c r="C29" s="132">
        <f>C27-C28</f>
        <v>2562</v>
      </c>
      <c r="D29" s="132">
        <f t="shared" ref="D29:N29" si="0">D27-D28</f>
        <v>2660</v>
      </c>
      <c r="E29" s="132">
        <f t="shared" si="0"/>
        <v>3417</v>
      </c>
      <c r="F29" s="132">
        <f t="shared" si="0"/>
        <v>3304</v>
      </c>
      <c r="G29" s="132">
        <f t="shared" si="0"/>
        <v>3732</v>
      </c>
      <c r="H29" s="132">
        <f t="shared" si="0"/>
        <v>6497</v>
      </c>
      <c r="I29" s="132">
        <f t="shared" si="0"/>
        <v>6272</v>
      </c>
      <c r="J29" s="132">
        <f t="shared" si="0"/>
        <v>5859</v>
      </c>
      <c r="K29" s="132">
        <f t="shared" si="0"/>
        <v>5519</v>
      </c>
      <c r="L29" s="132">
        <f t="shared" si="0"/>
        <v>5771</v>
      </c>
      <c r="M29" s="132">
        <f t="shared" si="0"/>
        <v>7147</v>
      </c>
      <c r="N29" s="132">
        <f t="shared" si="0"/>
        <v>9220</v>
      </c>
    </row>
    <row r="30" spans="2:15" x14ac:dyDescent="0.3">
      <c r="B30" s="126"/>
    </row>
    <row r="31" spans="2:15" x14ac:dyDescent="0.3">
      <c r="B31" s="126" t="s">
        <v>268</v>
      </c>
      <c r="C31" s="133">
        <v>72</v>
      </c>
      <c r="D31" s="133">
        <v>196</v>
      </c>
      <c r="E31" s="133">
        <v>107</v>
      </c>
      <c r="F31" s="133">
        <v>258</v>
      </c>
      <c r="G31" s="133">
        <v>1405</v>
      </c>
      <c r="H31" s="133">
        <v>210</v>
      </c>
      <c r="I31" s="133">
        <v>140</v>
      </c>
      <c r="J31" s="133">
        <v>183</v>
      </c>
      <c r="K31" s="133">
        <v>426</v>
      </c>
      <c r="L31" s="133">
        <v>1020</v>
      </c>
      <c r="M31" s="133">
        <v>2698</v>
      </c>
      <c r="N31" s="133">
        <v>1254</v>
      </c>
    </row>
    <row r="32" spans="2:15" x14ac:dyDescent="0.3">
      <c r="B32" s="126" t="s">
        <v>269</v>
      </c>
      <c r="C32" s="133">
        <v>1424</v>
      </c>
      <c r="D32" s="133">
        <v>1588</v>
      </c>
      <c r="E32" s="133">
        <v>2712</v>
      </c>
      <c r="F32" s="133">
        <v>2652</v>
      </c>
      <c r="G32" s="133">
        <v>2141</v>
      </c>
      <c r="H32" s="133">
        <v>2569</v>
      </c>
      <c r="I32" s="133">
        <v>2019</v>
      </c>
      <c r="J32" s="133">
        <v>4737</v>
      </c>
      <c r="K32" s="133">
        <v>3248</v>
      </c>
      <c r="L32" s="133">
        <v>4262</v>
      </c>
      <c r="M32" s="133">
        <v>4588</v>
      </c>
      <c r="N32" s="133">
        <v>4725</v>
      </c>
    </row>
    <row r="33" spans="2:14" x14ac:dyDescent="0.3">
      <c r="B33" s="126"/>
    </row>
    <row r="34" spans="2:14" x14ac:dyDescent="0.3">
      <c r="B34" s="126" t="s">
        <v>278</v>
      </c>
    </row>
    <row r="35" spans="2:14" x14ac:dyDescent="0.3">
      <c r="B35" s="125" t="s">
        <v>270</v>
      </c>
      <c r="C35" s="127">
        <v>2070</v>
      </c>
      <c r="D35" s="127">
        <v>2259</v>
      </c>
      <c r="E35" s="127">
        <v>1998</v>
      </c>
      <c r="F35" s="127">
        <v>2627</v>
      </c>
      <c r="G35" s="127">
        <v>2658</v>
      </c>
      <c r="H35" s="127">
        <v>3150</v>
      </c>
      <c r="I35" s="127">
        <v>3390</v>
      </c>
      <c r="J35" s="127">
        <v>3799</v>
      </c>
      <c r="K35" s="127">
        <v>6153</v>
      </c>
      <c r="L35" s="127">
        <v>6211</v>
      </c>
      <c r="M35" s="127">
        <v>5923</v>
      </c>
      <c r="N35" s="127">
        <v>6719</v>
      </c>
    </row>
    <row r="36" spans="2:14" x14ac:dyDescent="0.3">
      <c r="B36" s="125" t="s">
        <v>279</v>
      </c>
      <c r="C36" s="127">
        <v>1110</v>
      </c>
      <c r="D36" s="127">
        <v>1182</v>
      </c>
      <c r="E36" s="127">
        <v>1187</v>
      </c>
      <c r="F36" s="127">
        <v>1447</v>
      </c>
      <c r="G36" s="127">
        <v>1731</v>
      </c>
      <c r="H36" s="127">
        <v>1907</v>
      </c>
      <c r="I36" s="127">
        <v>1795</v>
      </c>
      <c r="J36" s="127">
        <v>2602</v>
      </c>
      <c r="K36" s="127">
        <v>3871</v>
      </c>
      <c r="L36" s="127">
        <v>4637</v>
      </c>
      <c r="M36" s="127">
        <v>4889</v>
      </c>
      <c r="N36" s="127">
        <v>4314</v>
      </c>
    </row>
    <row r="37" spans="2:14" x14ac:dyDescent="0.3">
      <c r="B37" s="125" t="s">
        <v>271</v>
      </c>
      <c r="C37" s="127">
        <v>229</v>
      </c>
      <c r="D37" s="127">
        <v>204</v>
      </c>
      <c r="E37" s="127">
        <v>424</v>
      </c>
      <c r="F37" s="127">
        <v>801</v>
      </c>
      <c r="G37" s="127">
        <v>405</v>
      </c>
      <c r="H37" s="127">
        <v>445</v>
      </c>
      <c r="I37" s="127">
        <v>783</v>
      </c>
      <c r="J37" s="127">
        <v>611</v>
      </c>
      <c r="K37" s="127">
        <v>864</v>
      </c>
      <c r="L37" s="127">
        <v>844</v>
      </c>
      <c r="M37" s="127">
        <v>1084</v>
      </c>
      <c r="N37" s="127">
        <v>782</v>
      </c>
    </row>
    <row r="38" spans="2:14" x14ac:dyDescent="0.3">
      <c r="B38" s="125" t="s">
        <v>272</v>
      </c>
      <c r="C38" s="127">
        <v>7</v>
      </c>
      <c r="D38" s="127">
        <v>8</v>
      </c>
      <c r="E38" s="127">
        <v>9</v>
      </c>
      <c r="F38" s="127">
        <v>14</v>
      </c>
      <c r="G38" s="127">
        <v>13</v>
      </c>
      <c r="H38" s="127">
        <v>16</v>
      </c>
      <c r="I38" s="127">
        <v>12</v>
      </c>
      <c r="J38" s="127">
        <v>12</v>
      </c>
      <c r="K38" s="127">
        <v>8</v>
      </c>
      <c r="L38" s="127">
        <v>12</v>
      </c>
      <c r="M38" s="127">
        <v>17</v>
      </c>
      <c r="N38" s="127">
        <v>22</v>
      </c>
    </row>
    <row r="39" spans="2:14" x14ac:dyDescent="0.3">
      <c r="B39" s="125" t="s">
        <v>273</v>
      </c>
      <c r="C39" s="128">
        <v>603</v>
      </c>
      <c r="D39" s="128">
        <v>817</v>
      </c>
      <c r="E39" s="128">
        <v>705</v>
      </c>
      <c r="F39" s="128">
        <v>1303</v>
      </c>
      <c r="G39" s="128">
        <v>1678</v>
      </c>
      <c r="H39" s="128">
        <v>1456</v>
      </c>
      <c r="I39" s="128">
        <v>1727</v>
      </c>
      <c r="J39" s="128">
        <v>2554</v>
      </c>
      <c r="K39" s="128">
        <v>2869</v>
      </c>
      <c r="L39" s="128">
        <v>3024</v>
      </c>
      <c r="M39" s="128">
        <v>3555</v>
      </c>
      <c r="N39" s="128">
        <v>3319</v>
      </c>
    </row>
    <row r="40" spans="2:14" x14ac:dyDescent="0.3">
      <c r="B40" s="129" t="s">
        <v>274</v>
      </c>
      <c r="C40" s="130">
        <v>8075</v>
      </c>
      <c r="D40" s="130">
        <v>8914</v>
      </c>
      <c r="E40" s="130">
        <v>10559</v>
      </c>
      <c r="F40" s="130">
        <v>12405</v>
      </c>
      <c r="G40" s="130">
        <v>13763</v>
      </c>
      <c r="H40" s="130">
        <v>16249</v>
      </c>
      <c r="I40" s="130">
        <v>16138</v>
      </c>
      <c r="J40" s="130">
        <v>20355</v>
      </c>
      <c r="K40" s="130">
        <v>22958</v>
      </c>
      <c r="L40" s="130">
        <v>25779</v>
      </c>
      <c r="M40" s="130">
        <v>29901</v>
      </c>
      <c r="N40" s="130">
        <v>30355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A434C-2515-4A91-BC10-AB507EB03CB6}">
  <dimension ref="B4:B13"/>
  <sheetViews>
    <sheetView showGridLines="0" workbookViewId="0">
      <selection activeCell="F25" sqref="F25"/>
    </sheetView>
  </sheetViews>
  <sheetFormatPr defaultRowHeight="14.4" x14ac:dyDescent="0.3"/>
  <cols>
    <col min="1" max="1" width="1.88671875" customWidth="1"/>
  </cols>
  <sheetData>
    <row r="4" spans="2:2" x14ac:dyDescent="0.3">
      <c r="B4" s="166" t="s">
        <v>327</v>
      </c>
    </row>
    <row r="5" spans="2:2" x14ac:dyDescent="0.3">
      <c r="B5" s="166" t="s">
        <v>328</v>
      </c>
    </row>
    <row r="6" spans="2:2" x14ac:dyDescent="0.3">
      <c r="B6" s="166" t="s">
        <v>329</v>
      </c>
    </row>
    <row r="7" spans="2:2" x14ac:dyDescent="0.3">
      <c r="B7" s="166" t="s">
        <v>330</v>
      </c>
    </row>
    <row r="8" spans="2:2" x14ac:dyDescent="0.3">
      <c r="B8" s="166" t="s">
        <v>331</v>
      </c>
    </row>
    <row r="9" spans="2:2" x14ac:dyDescent="0.3">
      <c r="B9" s="166" t="s">
        <v>332</v>
      </c>
    </row>
    <row r="10" spans="2:2" x14ac:dyDescent="0.3">
      <c r="B10" s="166" t="s">
        <v>352</v>
      </c>
    </row>
    <row r="11" spans="2:2" x14ac:dyDescent="0.3">
      <c r="B11" s="166" t="s">
        <v>353</v>
      </c>
    </row>
    <row r="12" spans="2:2" x14ac:dyDescent="0.3">
      <c r="B12" s="166" t="s">
        <v>354</v>
      </c>
    </row>
    <row r="13" spans="2:2" x14ac:dyDescent="0.3">
      <c r="B13" s="166" t="s">
        <v>355</v>
      </c>
    </row>
  </sheetData>
  <hyperlinks>
    <hyperlink ref="B4" r:id="rId1" xr:uid="{54E89FDA-BE9B-4437-AD09-81DEF7F3F07B}"/>
    <hyperlink ref="B5" r:id="rId2" xr:uid="{8F4653F6-4AF3-4FF3-9989-0005DE469DCF}"/>
    <hyperlink ref="B6" r:id="rId3" xr:uid="{59E8D46B-DB60-4AEE-8872-E0E1DC6423C8}"/>
    <hyperlink ref="B7" r:id="rId4" xr:uid="{9E50EDD3-3C86-4F15-8F00-3AAD256EB649}"/>
    <hyperlink ref="B8" r:id="rId5" xr:uid="{C1C97B0C-56BD-41CC-BCC0-688488D38166}"/>
    <hyperlink ref="B9" r:id="rId6" xr:uid="{776CC38F-EF79-457E-A179-28A1ED3C5209}"/>
    <hyperlink ref="B10" r:id="rId7" display="https://primeinvestor.in/nifty-50-returns/" xr:uid="{171CF5D0-60E5-48B7-A8F7-8AB872055DCE}"/>
    <hyperlink ref="B11" r:id="rId8" display="https://in.investing.com/rates-bonds/india-10-year-bond-yield" xr:uid="{2C752A55-A457-4837-A6A6-B3F32F0F9DB4}"/>
    <hyperlink ref="B12" r:id="rId9" display="https://www.topstockresearch.com/rt/Stock/BERGEPAINT/BetaAndVolatility" xr:uid="{8B742A24-A2BE-45CC-B67A-1C564B6BD37A}"/>
    <hyperlink ref="B13" r:id="rId10" display="https://www.topstockresearch.com/rt/Stock/NIFTY/BirdsEyeView" xr:uid="{1AD22210-E9BA-40B5-BAF4-320C26AF9297}"/>
  </hyperlinks>
  <pageMargins left="0.7" right="0.7" top="0.75" bottom="0.75" header="0.3" footer="0.3"/>
  <pageSetup orientation="portrait" r:id="rId1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5B8F4-2BCE-415D-B83C-728D89856F71}">
  <dimension ref="A3:L12"/>
  <sheetViews>
    <sheetView workbookViewId="0">
      <selection activeCell="G5" sqref="G5"/>
    </sheetView>
  </sheetViews>
  <sheetFormatPr defaultRowHeight="14.4" x14ac:dyDescent="0.3"/>
  <cols>
    <col min="1" max="1" width="5.88671875" bestFit="1" customWidth="1"/>
    <col min="2" max="2" width="17" bestFit="1" customWidth="1"/>
    <col min="3" max="3" width="8.109375" bestFit="1" customWidth="1"/>
    <col min="4" max="4" width="16.109375" bestFit="1" customWidth="1"/>
    <col min="6" max="6" width="10.5546875" bestFit="1" customWidth="1"/>
    <col min="7" max="7" width="10.77734375" bestFit="1" customWidth="1"/>
    <col min="8" max="8" width="10.5546875" bestFit="1" customWidth="1"/>
    <col min="9" max="9" width="13.21875" bestFit="1" customWidth="1"/>
    <col min="10" max="10" width="11.21875" bestFit="1" customWidth="1"/>
    <col min="11" max="11" width="10" customWidth="1"/>
  </cols>
  <sheetData>
    <row r="3" spans="1:12" x14ac:dyDescent="0.3">
      <c r="A3" t="s">
        <v>377</v>
      </c>
      <c r="B3" t="s">
        <v>378</v>
      </c>
      <c r="C3" t="s">
        <v>379</v>
      </c>
      <c r="D3" t="s">
        <v>381</v>
      </c>
      <c r="E3" t="s">
        <v>394</v>
      </c>
      <c r="F3" t="s">
        <v>382</v>
      </c>
      <c r="G3" t="s">
        <v>380</v>
      </c>
      <c r="H3" t="s">
        <v>383</v>
      </c>
      <c r="I3" t="s">
        <v>384</v>
      </c>
      <c r="J3" t="s">
        <v>385</v>
      </c>
      <c r="K3" t="s">
        <v>393</v>
      </c>
      <c r="L3" t="s">
        <v>65</v>
      </c>
    </row>
    <row r="4" spans="1:12" x14ac:dyDescent="0.3">
      <c r="A4">
        <v>1</v>
      </c>
      <c r="B4" t="s">
        <v>214</v>
      </c>
      <c r="C4">
        <v>2485.1</v>
      </c>
      <c r="D4">
        <v>95.92</v>
      </c>
      <c r="E4">
        <f>C4*D4</f>
        <v>238370.79199999999</v>
      </c>
      <c r="F4">
        <v>3557.09</v>
      </c>
      <c r="G4">
        <v>34695.75</v>
      </c>
      <c r="H4">
        <v>1010.67</v>
      </c>
      <c r="I4">
        <v>3910.03</v>
      </c>
      <c r="J4">
        <v>33.630000000000003</v>
      </c>
      <c r="K4">
        <f t="shared" ref="K4:K12" si="0">E4+F4-H4</f>
        <v>240917.21199999997</v>
      </c>
      <c r="L4">
        <f>K4/J4</f>
        <v>7163.7589057389223</v>
      </c>
    </row>
    <row r="5" spans="1:12" x14ac:dyDescent="0.3">
      <c r="A5">
        <v>2</v>
      </c>
      <c r="B5" t="s">
        <v>216</v>
      </c>
      <c r="C5">
        <v>460.4</v>
      </c>
      <c r="D5">
        <v>116.6</v>
      </c>
      <c r="E5">
        <f t="shared" ref="E5:E12" si="1">C5*D5</f>
        <v>53682.639999999992</v>
      </c>
      <c r="F5">
        <v>697.33</v>
      </c>
      <c r="G5">
        <v>11716.25</v>
      </c>
      <c r="H5">
        <v>449.83</v>
      </c>
      <c r="I5">
        <v>1055.68</v>
      </c>
      <c r="J5">
        <v>27.94</v>
      </c>
      <c r="K5">
        <f t="shared" si="0"/>
        <v>53930.139999999992</v>
      </c>
      <c r="L5">
        <f t="shared" ref="L5:L12" si="2">K5/J5</f>
        <v>1930.2125984251966</v>
      </c>
    </row>
    <row r="6" spans="1:12" x14ac:dyDescent="0.3">
      <c r="A6">
        <v>3</v>
      </c>
      <c r="B6" t="s">
        <v>386</v>
      </c>
      <c r="C6">
        <v>197.15</v>
      </c>
      <c r="D6">
        <v>80.87</v>
      </c>
      <c r="E6">
        <f t="shared" si="1"/>
        <v>15943.520500000001</v>
      </c>
      <c r="F6">
        <v>276.42</v>
      </c>
      <c r="G6">
        <v>7914.85</v>
      </c>
      <c r="H6">
        <v>267.31</v>
      </c>
      <c r="I6">
        <v>568.38</v>
      </c>
      <c r="J6">
        <v>14.82</v>
      </c>
      <c r="K6">
        <f t="shared" si="0"/>
        <v>15952.630500000001</v>
      </c>
      <c r="L6">
        <f t="shared" si="2"/>
        <v>1076.4258097165991</v>
      </c>
    </row>
    <row r="7" spans="1:12" x14ac:dyDescent="0.3">
      <c r="A7">
        <v>4</v>
      </c>
      <c r="B7" t="s">
        <v>387</v>
      </c>
      <c r="C7">
        <v>2947.8</v>
      </c>
      <c r="D7">
        <v>4.55</v>
      </c>
      <c r="E7">
        <f t="shared" si="1"/>
        <v>13412.49</v>
      </c>
      <c r="F7">
        <v>71.2</v>
      </c>
      <c r="G7">
        <v>3759.8</v>
      </c>
      <c r="H7">
        <v>274</v>
      </c>
      <c r="I7">
        <v>1955.3</v>
      </c>
      <c r="J7">
        <v>23.01</v>
      </c>
      <c r="K7">
        <f t="shared" si="0"/>
        <v>13209.69</v>
      </c>
      <c r="L7">
        <f t="shared" si="2"/>
        <v>574.0847457627118</v>
      </c>
    </row>
    <row r="8" spans="1:12" x14ac:dyDescent="0.3">
      <c r="A8">
        <v>5</v>
      </c>
      <c r="B8" t="s">
        <v>388</v>
      </c>
      <c r="C8">
        <v>860.05</v>
      </c>
      <c r="D8">
        <v>4.7699999999999996</v>
      </c>
      <c r="E8">
        <f t="shared" si="1"/>
        <v>4102.4384999999993</v>
      </c>
      <c r="F8">
        <v>17.64</v>
      </c>
      <c r="G8">
        <v>1299.42</v>
      </c>
      <c r="H8">
        <v>9.09</v>
      </c>
      <c r="I8">
        <v>144.94999999999999</v>
      </c>
      <c r="J8">
        <v>15.87</v>
      </c>
      <c r="K8">
        <f t="shared" si="0"/>
        <v>4110.9884999999995</v>
      </c>
      <c r="L8">
        <f t="shared" si="2"/>
        <v>259.04149338374287</v>
      </c>
    </row>
    <row r="9" spans="1:12" x14ac:dyDescent="0.3">
      <c r="A9">
        <v>6</v>
      </c>
      <c r="B9" t="s">
        <v>389</v>
      </c>
      <c r="C9">
        <v>437.3</v>
      </c>
      <c r="D9">
        <v>5.68</v>
      </c>
      <c r="E9">
        <f t="shared" si="1"/>
        <v>2483.864</v>
      </c>
      <c r="F9">
        <v>45.22</v>
      </c>
      <c r="G9">
        <v>459.12</v>
      </c>
      <c r="H9">
        <v>52.84</v>
      </c>
      <c r="I9">
        <v>61.5</v>
      </c>
      <c r="J9">
        <v>25.91</v>
      </c>
      <c r="K9">
        <f t="shared" si="0"/>
        <v>2476.2439999999997</v>
      </c>
      <c r="L9">
        <f t="shared" si="2"/>
        <v>95.570976456966406</v>
      </c>
    </row>
    <row r="10" spans="1:12" x14ac:dyDescent="0.3">
      <c r="A10">
        <v>7</v>
      </c>
      <c r="B10" t="s">
        <v>390</v>
      </c>
      <c r="C10">
        <v>50.1</v>
      </c>
      <c r="D10">
        <v>8.3699999999999992</v>
      </c>
      <c r="E10">
        <f t="shared" si="1"/>
        <v>419.33699999999999</v>
      </c>
      <c r="F10">
        <v>189.6</v>
      </c>
      <c r="G10">
        <v>597.53</v>
      </c>
      <c r="H10">
        <v>48.07</v>
      </c>
      <c r="I10">
        <v>-67.08</v>
      </c>
      <c r="J10">
        <v>-28.89</v>
      </c>
      <c r="K10">
        <f t="shared" si="0"/>
        <v>560.86699999999996</v>
      </c>
      <c r="L10">
        <f t="shared" si="2"/>
        <v>-19.413880235375562</v>
      </c>
    </row>
    <row r="11" spans="1:12" x14ac:dyDescent="0.3">
      <c r="A11">
        <v>8</v>
      </c>
      <c r="B11" t="s">
        <v>391</v>
      </c>
      <c r="C11">
        <v>5.62</v>
      </c>
      <c r="D11">
        <v>32.9</v>
      </c>
      <c r="E11">
        <f t="shared" si="1"/>
        <v>184.898</v>
      </c>
      <c r="F11">
        <v>32.229999999999997</v>
      </c>
      <c r="G11">
        <v>253.02</v>
      </c>
      <c r="H11">
        <v>6.76</v>
      </c>
      <c r="I11">
        <v>4.76</v>
      </c>
      <c r="J11">
        <v>12.95</v>
      </c>
      <c r="K11">
        <f t="shared" si="0"/>
        <v>210.36799999999999</v>
      </c>
      <c r="L11">
        <f t="shared" si="2"/>
        <v>16.244633204633207</v>
      </c>
    </row>
    <row r="12" spans="1:12" x14ac:dyDescent="0.3">
      <c r="A12">
        <v>9</v>
      </c>
      <c r="B12" t="s">
        <v>392</v>
      </c>
      <c r="C12">
        <v>221.95</v>
      </c>
      <c r="D12">
        <v>0.62</v>
      </c>
      <c r="E12">
        <f t="shared" si="1"/>
        <v>137.60899999999998</v>
      </c>
      <c r="F12">
        <v>0</v>
      </c>
      <c r="G12">
        <v>51.6</v>
      </c>
      <c r="H12">
        <v>5.9</v>
      </c>
      <c r="I12">
        <v>8.5399999999999991</v>
      </c>
      <c r="J12">
        <v>11.11</v>
      </c>
      <c r="K12">
        <f t="shared" si="0"/>
        <v>131.70899999999997</v>
      </c>
      <c r="L12">
        <f t="shared" si="2"/>
        <v>11.854995499549954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FE3351-6350-40C7-BCD4-E4758EB3AA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9</vt:i4>
      </vt:variant>
    </vt:vector>
  </HeadingPairs>
  <TitlesOfParts>
    <vt:vector size="31" baseType="lpstr">
      <vt:lpstr>DCF&gt;</vt:lpstr>
      <vt:lpstr>DCF</vt:lpstr>
      <vt:lpstr>WACC(Geometric)</vt:lpstr>
      <vt:lpstr>Financials&gt;</vt:lpstr>
      <vt:lpstr>Historical FS </vt:lpstr>
      <vt:lpstr>Ratio Analysis</vt:lpstr>
      <vt:lpstr>Common Size Statement</vt:lpstr>
      <vt:lpstr>Forecasting</vt:lpstr>
      <vt:lpstr>Beta - Regression</vt:lpstr>
      <vt:lpstr>Beta - Comps</vt:lpstr>
      <vt:lpstr>Market Return</vt:lpstr>
      <vt:lpstr>Intrisic Growth</vt:lpstr>
      <vt:lpstr>Comparable Valuation</vt:lpstr>
      <vt:lpstr>Football Analysis</vt:lpstr>
      <vt:lpstr>DCF 1</vt:lpstr>
      <vt:lpstr>WACC(Arithmetic)</vt:lpstr>
      <vt:lpstr>Data Room&gt;</vt:lpstr>
      <vt:lpstr>Cash Flow Data</vt:lpstr>
      <vt:lpstr>Data Sheet</vt:lpstr>
      <vt:lpstr>Raw FS</vt:lpstr>
      <vt:lpstr>Referance</vt:lpstr>
      <vt:lpstr>DATA</vt:lpstr>
      <vt:lpstr>'Beta - Comps'!Print_Area</vt:lpstr>
      <vt:lpstr>'Common Size Statement'!Print_Area</vt:lpstr>
      <vt:lpstr>'DCF 1'!Print_Area</vt:lpstr>
      <vt:lpstr>Forecasting!Print_Area</vt:lpstr>
      <vt:lpstr>'Historical FS '!Print_Area</vt:lpstr>
      <vt:lpstr>'Intrisic Growth'!Print_Area</vt:lpstr>
      <vt:lpstr>'Ratio Analysis'!Print_Area</vt:lpstr>
      <vt:lpstr>'WACC(Geometric)'!Print_Area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Gayatri Jadhao</cp:lastModifiedBy>
  <cp:lastPrinted>2026-04-25T13:23:24Z</cp:lastPrinted>
  <dcterms:created xsi:type="dcterms:W3CDTF">2012-08-17T09:55:37Z</dcterms:created>
  <dcterms:modified xsi:type="dcterms:W3CDTF">2026-05-08T20:50:28Z</dcterms:modified>
</cp:coreProperties>
</file>